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st - Floor" sheetId="1" r:id="rId5"/>
    <sheet name="2nd - Floor" sheetId="2" r:id="rId6"/>
    <sheet name="3rd - Floor" sheetId="3" r:id="rId7"/>
    <sheet name="4th - Floor" sheetId="4" r:id="rId8"/>
    <sheet name="5th - Floor" sheetId="5" r:id="rId9"/>
    <sheet name="School 1ºst Floor-1-1-1-1-1 - F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<sst xmlns="http://schemas.openxmlformats.org/spreadsheetml/2006/main" uniqueCount="74">
  <si>
    <t>Floor</t>
  </si>
  <si>
    <t>Zones</t>
  </si>
  <si>
    <t>Facility type</t>
  </si>
  <si>
    <t>occupancy</t>
  </si>
  <si>
    <t>min qty</t>
  </si>
  <si>
    <t>Max qty</t>
  </si>
  <si>
    <t>shape</t>
  </si>
  <si>
    <t>stud.ratio</t>
  </si>
  <si>
    <t>min total</t>
  </si>
  <si>
    <t>max total</t>
  </si>
  <si>
    <t>Entrance</t>
  </si>
  <si>
    <t>Lobby</t>
  </si>
  <si>
    <t>rectangle</t>
  </si>
  <si>
    <t>Staff support offices</t>
  </si>
  <si>
    <t>Foyer</t>
  </si>
  <si>
    <t>Cafe</t>
  </si>
  <si>
    <t>classes</t>
  </si>
  <si>
    <t>Anfitheatres</t>
  </si>
  <si>
    <t>Auditorium</t>
  </si>
  <si>
    <t>square</t>
  </si>
  <si>
    <t>Offices</t>
  </si>
  <si>
    <t>Teaching staff</t>
  </si>
  <si>
    <t>other facilities</t>
  </si>
  <si>
    <t>Elevator/stairs/toilets</t>
  </si>
  <si>
    <t>Maintenance rooms</t>
  </si>
  <si>
    <t>TOTAL</t>
  </si>
  <si>
    <t>predicted avail. A</t>
  </si>
  <si>
    <t>Deficit</t>
  </si>
  <si>
    <t>Large classroom</t>
  </si>
  <si>
    <t>Classroom</t>
  </si>
  <si>
    <t>Agribusiness lab</t>
  </si>
  <si>
    <t>Library</t>
  </si>
  <si>
    <t>Teaching Labs</t>
  </si>
  <si>
    <t>Chemistry</t>
  </si>
  <si>
    <t>Biology</t>
  </si>
  <si>
    <t>BioChemistry</t>
  </si>
  <si>
    <t>Phisiology</t>
  </si>
  <si>
    <t>Anamoty</t>
  </si>
  <si>
    <t>Clinical procedure</t>
  </si>
  <si>
    <t>Pathology</t>
  </si>
  <si>
    <t>Parasitology</t>
  </si>
  <si>
    <t>Surgery</t>
  </si>
  <si>
    <t>15</t>
  </si>
  <si>
    <t>Clinical Diagnosis</t>
  </si>
  <si>
    <t>Animal product’s analysis</t>
  </si>
  <si>
    <t>Plant product’s analysis</t>
  </si>
  <si>
    <t>Experimental animal</t>
  </si>
  <si>
    <t>Nutrition</t>
  </si>
  <si>
    <t>Embryology</t>
  </si>
  <si>
    <t>Experimental animal Center</t>
  </si>
  <si>
    <t>Locker room</t>
  </si>
  <si>
    <t>locker rooms</t>
  </si>
  <si>
    <t>LABS</t>
  </si>
  <si>
    <t>Lab research</t>
  </si>
  <si>
    <t>irrelevant</t>
  </si>
  <si>
    <t>4000 goes to the government ratio, but effectively it might be only 3000</t>
  </si>
  <si>
    <t>Dean</t>
  </si>
  <si>
    <t>Directors</t>
  </si>
  <si>
    <t>Meetings</t>
  </si>
  <si>
    <t>VIP meeting</t>
  </si>
  <si>
    <t>Professors</t>
  </si>
  <si>
    <t>lectures</t>
  </si>
  <si>
    <t>Associate Prof.</t>
  </si>
  <si>
    <t>MAnagement Staff</t>
  </si>
  <si>
    <t>Cafe/Leisure</t>
  </si>
  <si>
    <t>Classroom quota</t>
  </si>
  <si>
    <t>staff quota</t>
  </si>
  <si>
    <t>Lab teaching quota</t>
  </si>
  <si>
    <t>Cafeteria</t>
  </si>
  <si>
    <t>Lab quota</t>
  </si>
  <si>
    <t>e.g.</t>
  </si>
  <si>
    <t>surgery</t>
  </si>
  <si>
    <t>2 cat consult room</t>
  </si>
  <si>
    <t>300 x 800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</si>
</sst>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2"/>
      </top>
      <bottom style="thin">
        <color indexed="12"/>
      </bottom>
      <diagonal/>
    </border>
    <border>
      <left style="thin">
        <color indexed="15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2" borderId="2" applyNumberFormat="1" applyFont="1" applyFill="1" applyBorder="1" applyAlignment="1" applyProtection="0">
      <alignment horizontal="center" vertical="center" wrapText="1"/>
    </xf>
    <xf numFmtId="0" fontId="2" fillId="2" borderId="2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2" fillId="3" borderId="3" applyNumberFormat="1" applyFont="1" applyFill="1" applyBorder="1" applyAlignment="1" applyProtection="0">
      <alignment horizontal="center" vertical="center" wrapText="1"/>
    </xf>
    <xf numFmtId="49" fontId="0" fillId="4" borderId="4" applyNumberFormat="1" applyFont="1" applyFill="1" applyBorder="1" applyAlignment="1" applyProtection="0">
      <alignment horizontal="center" vertical="center" wrapText="1"/>
    </xf>
    <xf numFmtId="0" fontId="0" fillId="4" borderId="5" applyNumberFormat="1" applyFont="1" applyFill="1" applyBorder="1" applyAlignment="1" applyProtection="0">
      <alignment horizontal="center" vertical="center" wrapText="1"/>
    </xf>
    <xf numFmtId="49" fontId="0" fillId="4" borderId="5" applyNumberFormat="1" applyFont="1" applyFill="1" applyBorder="1" applyAlignment="1" applyProtection="0">
      <alignment horizontal="center" vertical="center" wrapText="1"/>
    </xf>
    <xf numFmtId="0" fontId="0" fillId="4" borderId="5" applyNumberFormat="0" applyFont="1" applyFill="1" applyBorder="1" applyAlignment="1" applyProtection="0">
      <alignment horizontal="center" vertical="center" wrapText="1"/>
    </xf>
    <xf numFmtId="0" fontId="0" fillId="4" borderId="6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2" fillId="3" borderId="8" applyNumberFormat="0" applyFont="1" applyFill="1" applyBorder="1" applyAlignment="1" applyProtection="0">
      <alignment horizontal="center" vertical="top" wrapText="1"/>
    </xf>
    <xf numFmtId="49" fontId="0" fillId="4" borderId="9" applyNumberFormat="1" applyFont="1" applyFill="1" applyBorder="1" applyAlignment="1" applyProtection="0">
      <alignment horizontal="center" vertical="center" wrapText="1"/>
    </xf>
    <xf numFmtId="0" fontId="0" fillId="4" borderId="10" applyNumberFormat="1" applyFont="1" applyFill="1" applyBorder="1" applyAlignment="1" applyProtection="0">
      <alignment horizontal="center" vertical="center" wrapText="1"/>
    </xf>
    <xf numFmtId="49" fontId="0" fillId="4" borderId="10" applyNumberFormat="1" applyFont="1" applyFill="1" applyBorder="1" applyAlignment="1" applyProtection="0">
      <alignment horizontal="center" vertical="center" wrapText="1"/>
    </xf>
    <xf numFmtId="0" fontId="0" fillId="4" borderId="10" applyNumberFormat="0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horizontal="center" vertical="top" wrapText="1"/>
    </xf>
    <xf numFmtId="0" fontId="2" fillId="3" borderId="8" applyNumberFormat="0" applyFont="1" applyFill="1" applyBorder="1" applyAlignment="1" applyProtection="0">
      <alignment horizontal="center" vertical="center" wrapText="1"/>
    </xf>
    <xf numFmtId="49" fontId="2" fillId="3" borderId="8" applyNumberFormat="1" applyFont="1" applyFill="1" applyBorder="1" applyAlignment="1" applyProtection="0">
      <alignment horizontal="center" vertical="center" wrapText="1"/>
    </xf>
    <xf numFmtId="0" fontId="0" fillId="4" borderId="12" applyNumberFormat="1" applyFont="1" applyFill="1" applyBorder="1" applyAlignment="1" applyProtection="0">
      <alignment horizontal="center" vertical="center" wrapText="1"/>
    </xf>
    <xf numFmtId="49" fontId="2" fillId="3" borderId="8" applyNumberFormat="1" applyFont="1" applyFill="1" applyBorder="1" applyAlignment="1" applyProtection="0">
      <alignment horizontal="center" vertical="top" wrapText="1"/>
    </xf>
    <xf numFmtId="0" fontId="0" fillId="4" borderId="9" applyNumberFormat="0" applyFont="1" applyFill="1" applyBorder="1" applyAlignment="1" applyProtection="0">
      <alignment horizontal="center" vertical="center" wrapText="1"/>
    </xf>
    <xf numFmtId="0" fontId="0" borderId="11" applyNumberFormat="1" applyFont="1" applyFill="0" applyBorder="1" applyAlignment="1" applyProtection="0">
      <alignment horizontal="center" vertical="top" wrapText="1"/>
    </xf>
    <xf numFmtId="59" fontId="0" fillId="4" borderId="10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13" applyNumberFormat="0" applyFont="1" applyFill="1" applyBorder="1" applyAlignment="1" applyProtection="0">
      <alignment horizontal="center" vertical="top" wrapText="1"/>
    </xf>
    <xf numFmtId="49" fontId="0" borderId="14" applyNumberFormat="1" applyFont="1" applyFill="0" applyBorder="1" applyAlignment="1" applyProtection="0">
      <alignment horizontal="center" vertical="top" wrapText="1"/>
    </xf>
    <xf numFmtId="0" fontId="2" fillId="3" borderId="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1" applyNumberFormat="1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5" applyNumberFormat="0" applyFont="1" applyFill="0" applyBorder="1" applyAlignment="1" applyProtection="0">
      <alignment horizontal="center" vertical="top" wrapText="1"/>
    </xf>
    <xf numFmtId="0" fontId="0" borderId="16" applyNumberFormat="0" applyFont="1" applyFill="0" applyBorder="1" applyAlignment="1" applyProtection="0">
      <alignment horizontal="center" vertical="top" wrapText="1"/>
    </xf>
    <xf numFmtId="0" fontId="0" borderId="16" applyNumberFormat="1" applyFont="1" applyFill="0" applyBorder="1" applyAlignment="1" applyProtection="0">
      <alignment horizontal="center" vertical="top" wrapText="1"/>
    </xf>
    <xf numFmtId="49" fontId="0" borderId="16" applyNumberFormat="1" applyFont="1" applyFill="0" applyBorder="1" applyAlignment="1" applyProtection="0">
      <alignment horizontal="center" vertical="top" wrapText="1"/>
    </xf>
    <xf numFmtId="0" fontId="0" borderId="17" applyNumberFormat="0" applyFont="1" applyFill="0" applyBorder="1" applyAlignment="1" applyProtection="0">
      <alignment horizontal="center" vertical="top" wrapText="1"/>
    </xf>
    <xf numFmtId="0" fontId="0" borderId="18" applyNumberFormat="0" applyFont="1" applyFill="0" applyBorder="1" applyAlignment="1" applyProtection="0">
      <alignment horizontal="center" vertical="top" wrapText="1"/>
    </xf>
    <xf numFmtId="0" fontId="0" borderId="19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3f3f3f"/>
      <rgbColor rgb="ffdbdbdb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6.6719" style="1" customWidth="1"/>
    <col min="3" max="3" width="10.5" style="1" customWidth="1"/>
    <col min="4" max="4" width="7.67188" style="1" customWidth="1"/>
    <col min="5" max="5" width="8" style="1" customWidth="1"/>
    <col min="6" max="6" width="9.76562" style="1" customWidth="1"/>
    <col min="7" max="7" width="9.35156" style="1" customWidth="1"/>
    <col min="8" max="8" width="1.78125" style="1" customWidth="1"/>
    <col min="9" max="10" width="10.1016" style="1" customWidth="1"/>
    <col min="11" max="11" width="12.7891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3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s="5">
        <v>0</v>
      </c>
      <c r="I2" t="s" s="4">
        <v>8</v>
      </c>
      <c r="J2" t="s" s="4">
        <v>9</v>
      </c>
      <c r="K2" s="6"/>
    </row>
    <row r="3" ht="20.7" customHeight="1">
      <c r="A3" t="s" s="7">
        <v>10</v>
      </c>
      <c r="B3" t="s" s="8">
        <v>11</v>
      </c>
      <c r="C3" s="9">
        <v>1</v>
      </c>
      <c r="D3" s="9">
        <v>4</v>
      </c>
      <c r="E3" s="9">
        <v>8</v>
      </c>
      <c r="F3" t="s" s="10">
        <v>12</v>
      </c>
      <c r="G3" s="9">
        <v>80</v>
      </c>
      <c r="H3" s="11"/>
      <c r="I3" s="12" cm="1">
        <f t="array" ref="I3">C3*D3*G3</f>
        <v>320</v>
      </c>
      <c r="J3" s="12" cm="1">
        <f t="array" ref="J3">C3*E3*G3</f>
        <v>640</v>
      </c>
      <c r="K3" s="13"/>
    </row>
    <row r="4" ht="20.7" customHeight="1">
      <c r="A4" s="14"/>
      <c r="B4" t="s" s="15">
        <v>13</v>
      </c>
      <c r="C4" s="16">
        <v>1</v>
      </c>
      <c r="D4" s="16">
        <v>1</v>
      </c>
      <c r="E4" s="16">
        <v>3</v>
      </c>
      <c r="F4" t="s" s="17">
        <v>12</v>
      </c>
      <c r="G4" s="16">
        <v>40</v>
      </c>
      <c r="H4" s="18"/>
      <c r="I4" s="12" cm="1">
        <f t="array" ref="I4">C4*D4*G4</f>
        <v>40</v>
      </c>
      <c r="J4" s="12" cm="1">
        <f t="array" ref="J4">C4*E4*G4</f>
        <v>120</v>
      </c>
      <c r="K4" s="19"/>
    </row>
    <row r="5" ht="20.7" customHeight="1">
      <c r="A5" s="14"/>
      <c r="B5" t="s" s="15">
        <v>14</v>
      </c>
      <c r="C5" s="16">
        <v>1</v>
      </c>
      <c r="D5" s="16">
        <v>1</v>
      </c>
      <c r="E5" s="16">
        <v>1</v>
      </c>
      <c r="F5" t="s" s="17">
        <v>12</v>
      </c>
      <c r="G5" s="16">
        <v>150</v>
      </c>
      <c r="H5" s="18"/>
      <c r="I5" s="12" cm="1">
        <f t="array" ref="I5">C5*D5*G5</f>
        <v>150</v>
      </c>
      <c r="J5" s="12" cm="1">
        <f t="array" ref="J5">C5*E5*G5</f>
        <v>150</v>
      </c>
      <c r="K5" s="19"/>
    </row>
    <row r="6" ht="20.7" customHeight="1">
      <c r="A6" s="20"/>
      <c r="B6" t="s" s="15">
        <v>15</v>
      </c>
      <c r="C6" s="16">
        <v>1</v>
      </c>
      <c r="D6" s="16">
        <v>1</v>
      </c>
      <c r="E6" s="16">
        <v>1</v>
      </c>
      <c r="F6" t="s" s="17">
        <v>12</v>
      </c>
      <c r="G6" s="16">
        <v>15</v>
      </c>
      <c r="H6" s="18"/>
      <c r="I6" s="9" cm="1">
        <f t="array" ref="I6">C6*D6*G6</f>
        <v>15</v>
      </c>
      <c r="J6" s="9" cm="1">
        <f t="array" ref="J6">C6*E6*G6</f>
        <v>15</v>
      </c>
      <c r="K6" s="19"/>
    </row>
    <row r="7" ht="20.7" customHeight="1">
      <c r="A7" t="s" s="21">
        <v>16</v>
      </c>
      <c r="B7" t="s" s="15">
        <v>17</v>
      </c>
      <c r="C7" s="16">
        <v>160</v>
      </c>
      <c r="D7" s="16">
        <v>4</v>
      </c>
      <c r="E7" s="16">
        <v>4</v>
      </c>
      <c r="F7" t="s" s="17">
        <v>12</v>
      </c>
      <c r="G7" s="16">
        <v>2</v>
      </c>
      <c r="H7" s="18"/>
      <c r="I7" s="22" cm="1">
        <f t="array" ref="I7">C7*D7*G7</f>
        <v>1280</v>
      </c>
      <c r="J7" s="22" cm="1">
        <f t="array" ref="J7">C7*E7*G7</f>
        <v>1280</v>
      </c>
      <c r="K7" s="19"/>
    </row>
    <row r="8" ht="20.7" customHeight="1">
      <c r="A8" s="14"/>
      <c r="B8" t="s" s="15">
        <v>18</v>
      </c>
      <c r="C8" s="16">
        <v>800</v>
      </c>
      <c r="D8" s="16">
        <v>1</v>
      </c>
      <c r="E8" s="16">
        <v>1</v>
      </c>
      <c r="F8" t="s" s="17">
        <v>19</v>
      </c>
      <c r="G8" s="16">
        <v>1.3</v>
      </c>
      <c r="H8" s="18"/>
      <c r="I8" s="12" cm="1">
        <f t="array" ref="I8">C8*D8*G8</f>
        <v>1040</v>
      </c>
      <c r="J8" s="12" cm="1">
        <f t="array" ref="J8">C8*E8*G8</f>
        <v>1040</v>
      </c>
      <c r="K8" s="19"/>
    </row>
    <row r="9" ht="20.7" customHeight="1">
      <c r="A9" t="s" s="23">
        <v>20</v>
      </c>
      <c r="B9" t="s" s="15">
        <v>21</v>
      </c>
      <c r="C9" s="16">
        <v>8</v>
      </c>
      <c r="D9" s="16">
        <v>4</v>
      </c>
      <c r="E9" s="16">
        <v>4</v>
      </c>
      <c r="F9" t="s" s="17">
        <v>12</v>
      </c>
      <c r="G9" s="16">
        <v>5</v>
      </c>
      <c r="H9" s="18"/>
      <c r="I9" s="9" cm="1">
        <f t="array" ref="I9">C9*D9*G9</f>
        <v>160</v>
      </c>
      <c r="J9" s="9" cm="1">
        <f t="array" ref="J9">C9*E9*G9</f>
        <v>160</v>
      </c>
      <c r="K9" s="19"/>
    </row>
    <row r="10" ht="20.7" customHeight="1">
      <c r="A10" s="14"/>
      <c r="B10" s="15"/>
      <c r="C10" s="18"/>
      <c r="D10" s="18"/>
      <c r="E10" s="18"/>
      <c r="F10" s="17"/>
      <c r="G10" s="18"/>
      <c r="H10" s="18"/>
      <c r="I10" s="22" cm="1">
        <f t="array" ref="I10">C10*D10*G10</f>
        <v>0</v>
      </c>
      <c r="J10" s="22" cm="1">
        <f t="array" ref="J10">C10*E10*G10</f>
        <v>0</v>
      </c>
      <c r="K10" s="19"/>
    </row>
    <row r="11" ht="20.7" customHeight="1">
      <c r="A11" t="s" s="21">
        <v>22</v>
      </c>
      <c r="B11" t="s" s="15">
        <v>23</v>
      </c>
      <c r="C11" s="16">
        <v>1</v>
      </c>
      <c r="D11" s="16">
        <v>2</v>
      </c>
      <c r="E11" s="16">
        <v>2</v>
      </c>
      <c r="F11" t="s" s="17">
        <v>19</v>
      </c>
      <c r="G11" s="16">
        <v>150</v>
      </c>
      <c r="H11" s="18"/>
      <c r="I11" s="12" cm="1">
        <f t="array" ref="I11">C11*D11*G11</f>
        <v>300</v>
      </c>
      <c r="J11" s="12" cm="1">
        <f t="array" ref="J11">C11*E11*G11</f>
        <v>300</v>
      </c>
      <c r="K11" s="19"/>
    </row>
    <row r="12" ht="20.7" customHeight="1">
      <c r="A12" s="14"/>
      <c r="B12" t="s" s="15">
        <v>24</v>
      </c>
      <c r="C12" s="16">
        <v>1</v>
      </c>
      <c r="D12" s="16">
        <v>1</v>
      </c>
      <c r="E12" s="16">
        <v>1</v>
      </c>
      <c r="F12" t="s" s="17">
        <v>19</v>
      </c>
      <c r="G12" s="16">
        <v>20</v>
      </c>
      <c r="H12" s="18"/>
      <c r="I12" s="12" cm="1">
        <f t="array" ref="I12">C12*D12*G12</f>
        <v>20</v>
      </c>
      <c r="J12" s="12" cm="1">
        <f t="array" ref="J12">C12*E12*G12</f>
        <v>20</v>
      </c>
      <c r="K12" s="19"/>
    </row>
    <row r="13" ht="20.7" customHeight="1">
      <c r="A13" s="20"/>
      <c r="B13" s="15"/>
      <c r="C13" s="18"/>
      <c r="D13" s="18"/>
      <c r="E13" s="18"/>
      <c r="F13" s="18"/>
      <c r="G13" s="18"/>
      <c r="H13" s="18"/>
      <c r="I13" s="9" cm="1">
        <f t="array" ref="I13">C13*D13*G13</f>
        <v>0</v>
      </c>
      <c r="J13" s="9" cm="1">
        <f t="array" ref="J13">C13*E13*G13</f>
        <v>0</v>
      </c>
      <c r="K13" s="19"/>
    </row>
    <row r="14" ht="20.7" customHeight="1">
      <c r="A14" t="s" s="21">
        <v>25</v>
      </c>
      <c r="B14" s="24"/>
      <c r="C14" s="18"/>
      <c r="D14" s="18"/>
      <c r="E14" s="18"/>
      <c r="F14" s="18"/>
      <c r="G14" s="18"/>
      <c r="H14" s="18"/>
      <c r="I14" s="16" cm="1">
        <f t="array" ref="I14">SUM(I3:I13)</f>
        <v>3325</v>
      </c>
      <c r="J14" s="16" cm="1">
        <f t="array" ref="J14">SUM(J3:J13)</f>
        <v>3725</v>
      </c>
      <c r="K14" s="19"/>
    </row>
    <row r="15" ht="20.7" customHeight="1">
      <c r="A15" t="s" s="21">
        <v>26</v>
      </c>
      <c r="B15" s="24"/>
      <c r="C15" s="18"/>
      <c r="D15" s="18"/>
      <c r="E15" s="18"/>
      <c r="F15" s="18"/>
      <c r="G15" s="18"/>
      <c r="H15" s="18"/>
      <c r="I15" s="16">
        <v>4080</v>
      </c>
      <c r="J15" s="16">
        <v>4080</v>
      </c>
      <c r="K15" s="25">
        <v>20500</v>
      </c>
    </row>
    <row r="16" ht="20.7" customHeight="1">
      <c r="A16" t="s" s="21">
        <v>27</v>
      </c>
      <c r="B16" s="24"/>
      <c r="C16" s="18"/>
      <c r="D16" s="18"/>
      <c r="E16" s="18"/>
      <c r="F16" s="18"/>
      <c r="G16" s="18"/>
      <c r="H16" s="18"/>
      <c r="I16" s="26" cm="1">
        <f t="array" ref="I16">I14/I15</f>
        <v>0.814950980392157</v>
      </c>
      <c r="J16" s="26" cm="1">
        <f t="array" ref="J16">J14/J15</f>
        <v>0.912990196078431</v>
      </c>
      <c r="K16" s="19"/>
    </row>
    <row r="17" ht="20.7" customHeight="1">
      <c r="A17" s="20"/>
      <c r="B17" s="15"/>
      <c r="C17" s="18"/>
      <c r="D17" s="17"/>
      <c r="E17" s="17"/>
      <c r="F17" s="17"/>
      <c r="G17" s="17"/>
      <c r="H17" s="18"/>
      <c r="I17" s="18"/>
      <c r="J17" s="18"/>
      <c r="K17" s="19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7" customWidth="1"/>
    <col min="2" max="2" width="16.6719" style="27" customWidth="1"/>
    <col min="3" max="3" width="10.5" style="27" customWidth="1"/>
    <col min="4" max="4" width="7.67188" style="27" customWidth="1"/>
    <col min="5" max="5" width="8" style="27" customWidth="1"/>
    <col min="6" max="6" width="9.76562" style="27" customWidth="1"/>
    <col min="7" max="7" width="9.35156" style="27" customWidth="1"/>
    <col min="8" max="8" width="1.78125" style="27" customWidth="1"/>
    <col min="9" max="10" width="10.1016" style="27" customWidth="1"/>
    <col min="11" max="11" width="12.1328" style="27" customWidth="1"/>
    <col min="12" max="16384" width="16.3516" style="27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3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s="5">
        <v>0</v>
      </c>
      <c r="I2" t="s" s="4">
        <v>8</v>
      </c>
      <c r="J2" t="s" s="4">
        <v>9</v>
      </c>
      <c r="K2" s="6"/>
    </row>
    <row r="3" ht="20.7" customHeight="1">
      <c r="A3" t="s" s="7">
        <v>10</v>
      </c>
      <c r="B3" t="s" s="8">
        <v>11</v>
      </c>
      <c r="C3" s="9">
        <v>1</v>
      </c>
      <c r="D3" s="9">
        <v>2</v>
      </c>
      <c r="E3" s="9">
        <v>4</v>
      </c>
      <c r="F3" t="s" s="10">
        <v>12</v>
      </c>
      <c r="G3" s="9">
        <v>80</v>
      </c>
      <c r="H3" s="11"/>
      <c r="I3" s="12" cm="1">
        <f t="array" ref="I3">C3*D3*G3</f>
        <v>160</v>
      </c>
      <c r="J3" s="12" cm="1">
        <f t="array" ref="J3">C3*E3*G3</f>
        <v>320</v>
      </c>
      <c r="K3" s="13"/>
    </row>
    <row r="4" ht="20.7" customHeight="1">
      <c r="A4" s="14"/>
      <c r="B4" t="s" s="15">
        <v>28</v>
      </c>
      <c r="C4" s="16">
        <v>80</v>
      </c>
      <c r="D4" s="16">
        <v>6</v>
      </c>
      <c r="E4" s="16">
        <v>8</v>
      </c>
      <c r="F4" t="s" s="17">
        <v>19</v>
      </c>
      <c r="G4" s="16">
        <v>2</v>
      </c>
      <c r="H4" s="18"/>
      <c r="I4" s="12" cm="1">
        <f t="array" ref="I4">C4*D4*G4</f>
        <v>960</v>
      </c>
      <c r="J4" s="12" cm="1">
        <f t="array" ref="J4">C4*E4*G4</f>
        <v>1280</v>
      </c>
      <c r="K4" s="19"/>
    </row>
    <row r="5" ht="20.7" customHeight="1">
      <c r="A5" t="s" s="21">
        <v>16</v>
      </c>
      <c r="B5" t="s" s="15">
        <v>29</v>
      </c>
      <c r="C5" s="16">
        <v>40</v>
      </c>
      <c r="D5" s="16">
        <v>12</v>
      </c>
      <c r="E5" s="16">
        <v>16</v>
      </c>
      <c r="F5" t="s" s="17">
        <v>19</v>
      </c>
      <c r="G5" s="16">
        <v>2</v>
      </c>
      <c r="H5" s="18"/>
      <c r="I5" s="12" cm="1">
        <f t="array" ref="I5">C5*D5*G5</f>
        <v>960</v>
      </c>
      <c r="J5" s="12" cm="1">
        <f t="array" ref="J5">C5*E5*G5</f>
        <v>1280</v>
      </c>
      <c r="K5" s="19"/>
    </row>
    <row r="6" ht="20.7" customHeight="1">
      <c r="A6" s="14"/>
      <c r="B6" t="s" s="15">
        <v>30</v>
      </c>
      <c r="C6" s="16">
        <v>40</v>
      </c>
      <c r="D6" s="16">
        <v>5</v>
      </c>
      <c r="E6" s="16">
        <v>5</v>
      </c>
      <c r="F6" t="s" s="17">
        <v>19</v>
      </c>
      <c r="G6" s="16">
        <v>2.5</v>
      </c>
      <c r="H6" s="18"/>
      <c r="I6" s="12" cm="1">
        <f t="array" ref="I6">C6*D6*G6</f>
        <v>500</v>
      </c>
      <c r="J6" s="12" cm="1">
        <f t="array" ref="J6">C6*E6*G6</f>
        <v>500</v>
      </c>
      <c r="K6" s="19"/>
    </row>
    <row r="7" ht="20.7" customHeight="1">
      <c r="A7" s="14"/>
      <c r="B7" s="15"/>
      <c r="C7" s="18"/>
      <c r="D7" s="18"/>
      <c r="E7" s="18"/>
      <c r="F7" s="17"/>
      <c r="G7" s="18"/>
      <c r="H7" s="18"/>
      <c r="I7" s="12" cm="1">
        <f t="array" ref="I7">C7*D7*G7</f>
        <v>0</v>
      </c>
      <c r="J7" s="12" cm="1">
        <f t="array" ref="J7">C7*E7*G7</f>
        <v>0</v>
      </c>
      <c r="K7" s="19"/>
    </row>
    <row r="8" ht="20.7" customHeight="1">
      <c r="A8" t="s" s="21">
        <v>22</v>
      </c>
      <c r="B8" t="s" s="15">
        <v>23</v>
      </c>
      <c r="C8" s="16">
        <v>1</v>
      </c>
      <c r="D8" s="16">
        <v>2</v>
      </c>
      <c r="E8" s="16">
        <v>2</v>
      </c>
      <c r="F8" t="s" s="17">
        <v>19</v>
      </c>
      <c r="G8" s="16">
        <v>150</v>
      </c>
      <c r="H8" s="18"/>
      <c r="I8" s="12" cm="1">
        <f t="array" ref="I8">C8*D8*G8</f>
        <v>300</v>
      </c>
      <c r="J8" s="12" cm="1">
        <f t="array" ref="J8">C8*E8*G8</f>
        <v>300</v>
      </c>
      <c r="K8" s="19"/>
    </row>
    <row r="9" ht="20.7" customHeight="1">
      <c r="A9" s="14"/>
      <c r="B9" t="s" s="15">
        <v>24</v>
      </c>
      <c r="C9" s="16">
        <v>1</v>
      </c>
      <c r="D9" s="16">
        <v>1</v>
      </c>
      <c r="E9" s="16">
        <v>1</v>
      </c>
      <c r="F9" t="s" s="17">
        <v>19</v>
      </c>
      <c r="G9" s="16">
        <v>20</v>
      </c>
      <c r="H9" s="18"/>
      <c r="I9" s="12" cm="1">
        <f t="array" ref="I9">C9*D9*G9</f>
        <v>20</v>
      </c>
      <c r="J9" s="12" cm="1">
        <f t="array" ref="J9">C9*E9*G9</f>
        <v>20</v>
      </c>
      <c r="K9" s="19"/>
    </row>
    <row r="10" ht="20.7" customHeight="1">
      <c r="A10" s="20"/>
      <c r="B10" t="s" s="15">
        <v>31</v>
      </c>
      <c r="C10" s="16">
        <v>1</v>
      </c>
      <c r="D10" s="16">
        <v>1</v>
      </c>
      <c r="E10" s="16">
        <v>1</v>
      </c>
      <c r="F10" t="s" s="17">
        <v>12</v>
      </c>
      <c r="G10" s="16">
        <v>400</v>
      </c>
      <c r="H10" s="18"/>
      <c r="I10" s="12" cm="1">
        <f t="array" ref="I10">C10*D10*G10</f>
        <v>400</v>
      </c>
      <c r="J10" s="12" cm="1">
        <f t="array" ref="J10">C10*E10*G10</f>
        <v>400</v>
      </c>
      <c r="K10" s="19"/>
    </row>
    <row r="11" ht="20.7" customHeight="1">
      <c r="A11" s="20"/>
      <c r="B11" s="15"/>
      <c r="C11" s="18"/>
      <c r="D11" s="18"/>
      <c r="E11" s="18"/>
      <c r="F11" s="18"/>
      <c r="G11" s="16">
        <v>8</v>
      </c>
      <c r="H11" s="18"/>
      <c r="I11" s="9" cm="1">
        <f t="array" ref="I11">C11*D11*G11</f>
        <v>0</v>
      </c>
      <c r="J11" s="9" cm="1">
        <f t="array" ref="J11">C11*E11*G11</f>
        <v>0</v>
      </c>
      <c r="K11" s="19"/>
    </row>
    <row r="12" ht="20.7" customHeight="1">
      <c r="A12" t="s" s="21">
        <v>25</v>
      </c>
      <c r="B12" s="24"/>
      <c r="C12" s="18"/>
      <c r="D12" s="18"/>
      <c r="E12" s="18"/>
      <c r="F12" s="18"/>
      <c r="G12" s="18"/>
      <c r="H12" s="18"/>
      <c r="I12" s="16" cm="1">
        <f t="array" ref="I12">SUM(I3:I11)</f>
        <v>3300</v>
      </c>
      <c r="J12" s="16" cm="1">
        <f t="array" ref="J12">SUM(J3:J11)</f>
        <v>4100</v>
      </c>
      <c r="K12" s="19"/>
    </row>
    <row r="13" ht="20.7" customHeight="1">
      <c r="A13" t="s" s="21">
        <v>26</v>
      </c>
      <c r="B13" s="24"/>
      <c r="C13" s="18"/>
      <c r="D13" s="18"/>
      <c r="E13" s="18"/>
      <c r="F13" s="18"/>
      <c r="G13" s="18"/>
      <c r="H13" s="18"/>
      <c r="I13" s="16">
        <v>4730</v>
      </c>
      <c r="J13" s="16">
        <v>4730</v>
      </c>
      <c r="K13" s="25">
        <v>20500</v>
      </c>
    </row>
    <row r="14" ht="20.7" customHeight="1">
      <c r="A14" t="s" s="21">
        <v>27</v>
      </c>
      <c r="B14" s="24"/>
      <c r="C14" s="18"/>
      <c r="D14" s="18"/>
      <c r="E14" s="18"/>
      <c r="F14" s="18"/>
      <c r="G14" s="18"/>
      <c r="H14" s="18"/>
      <c r="I14" s="26" cm="1">
        <f t="array" ref="I14">I12/I13</f>
        <v>0.697674418604651</v>
      </c>
      <c r="J14" s="26" cm="1">
        <f t="array" ref="J14">J12/J13</f>
        <v>0.866807610993658</v>
      </c>
      <c r="K14" s="19"/>
    </row>
    <row r="15" ht="20.7" customHeight="1">
      <c r="A15" s="20"/>
      <c r="B15" s="15"/>
      <c r="C15" s="18"/>
      <c r="D15" s="17"/>
      <c r="E15" s="17"/>
      <c r="F15" s="17"/>
      <c r="G15" s="17"/>
      <c r="H15" s="18"/>
      <c r="I15" s="18"/>
      <c r="J15" s="18"/>
      <c r="K15" s="19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2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8" customWidth="1"/>
    <col min="2" max="2" width="22.8125" style="28" customWidth="1"/>
    <col min="3" max="3" width="10.5" style="28" customWidth="1"/>
    <col min="4" max="4" width="7.67188" style="28" customWidth="1"/>
    <col min="5" max="5" width="8" style="28" customWidth="1"/>
    <col min="6" max="6" width="9.76562" style="28" customWidth="1"/>
    <col min="7" max="7" width="9.35156" style="28" customWidth="1"/>
    <col min="8" max="8" width="1.78125" style="28" customWidth="1"/>
    <col min="9" max="10" width="10.1016" style="28" customWidth="1"/>
    <col min="11" max="11" width="12.1406" style="28" customWidth="1"/>
    <col min="12" max="16384" width="16.3516" style="2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3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s="5">
        <v>0</v>
      </c>
      <c r="I2" t="s" s="4">
        <v>8</v>
      </c>
      <c r="J2" t="s" s="4">
        <v>9</v>
      </c>
      <c r="K2" s="6"/>
    </row>
    <row r="3" ht="20.7" customHeight="1">
      <c r="A3" t="s" s="7">
        <v>10</v>
      </c>
      <c r="B3" t="s" s="8">
        <v>11</v>
      </c>
      <c r="C3" s="9">
        <v>1</v>
      </c>
      <c r="D3" s="9">
        <v>2</v>
      </c>
      <c r="E3" s="9">
        <v>4</v>
      </c>
      <c r="F3" t="s" s="10">
        <v>12</v>
      </c>
      <c r="G3" s="9">
        <v>80</v>
      </c>
      <c r="H3" s="11"/>
      <c r="I3" s="12" cm="1">
        <f t="array" ref="I3">C3*D3*G3</f>
        <v>160</v>
      </c>
      <c r="J3" s="12" cm="1">
        <f t="array" ref="J3">C3*E3*G3</f>
        <v>320</v>
      </c>
      <c r="K3" s="13"/>
    </row>
    <row r="4" ht="20.7" customHeight="1">
      <c r="A4" t="s" s="21">
        <v>32</v>
      </c>
      <c r="B4" t="s" s="15">
        <v>33</v>
      </c>
      <c r="C4" s="16">
        <v>40</v>
      </c>
      <c r="D4" s="16">
        <v>1</v>
      </c>
      <c r="E4" s="16">
        <v>1</v>
      </c>
      <c r="F4" t="s" s="17">
        <v>12</v>
      </c>
      <c r="G4" s="16">
        <v>3</v>
      </c>
      <c r="H4" s="18"/>
      <c r="I4" s="12" cm="1">
        <f t="array" ref="I4">C4*D4*G4</f>
        <v>120</v>
      </c>
      <c r="J4" s="12" cm="1">
        <f t="array" ref="J4">C4*E4*G4</f>
        <v>120</v>
      </c>
      <c r="K4" s="19"/>
    </row>
    <row r="5" ht="20.7" customHeight="1">
      <c r="A5" s="29"/>
      <c r="B5" t="s" s="30">
        <v>34</v>
      </c>
      <c r="C5" s="16">
        <v>40</v>
      </c>
      <c r="D5" s="16">
        <v>1</v>
      </c>
      <c r="E5" s="16">
        <v>1</v>
      </c>
      <c r="F5" t="s" s="17">
        <v>12</v>
      </c>
      <c r="G5" s="16">
        <v>3</v>
      </c>
      <c r="H5" s="18"/>
      <c r="I5" s="12" cm="1">
        <f t="array" ref="I5">C5*D5*G5</f>
        <v>120</v>
      </c>
      <c r="J5" s="12" cm="1">
        <f t="array" ref="J5">C5*E5*G5</f>
        <v>120</v>
      </c>
      <c r="K5" s="19"/>
    </row>
    <row r="6" ht="20.7" customHeight="1">
      <c r="A6" s="14"/>
      <c r="B6" t="s" s="15">
        <v>35</v>
      </c>
      <c r="C6" s="16">
        <v>40</v>
      </c>
      <c r="D6" s="16">
        <v>1</v>
      </c>
      <c r="E6" s="16">
        <v>1</v>
      </c>
      <c r="F6" t="s" s="17">
        <v>19</v>
      </c>
      <c r="G6" s="16">
        <v>3</v>
      </c>
      <c r="H6" s="18"/>
      <c r="I6" s="12" cm="1">
        <f t="array" ref="I6">C6*D6*G6</f>
        <v>120</v>
      </c>
      <c r="J6" s="12" cm="1">
        <f t="array" ref="J6">C6*E6*G6</f>
        <v>120</v>
      </c>
      <c r="K6" s="19"/>
    </row>
    <row r="7" ht="20.7" customHeight="1">
      <c r="A7" s="14"/>
      <c r="B7" t="s" s="15">
        <v>36</v>
      </c>
      <c r="C7" s="16">
        <v>40</v>
      </c>
      <c r="D7" s="16">
        <v>1</v>
      </c>
      <c r="E7" s="16">
        <v>1</v>
      </c>
      <c r="F7" t="s" s="17">
        <v>12</v>
      </c>
      <c r="G7" s="16">
        <v>3</v>
      </c>
      <c r="H7" s="18"/>
      <c r="I7" s="12" cm="1">
        <f t="array" ref="I7">C7*D7*G7</f>
        <v>120</v>
      </c>
      <c r="J7" s="12" cm="1">
        <f t="array" ref="J7">C7*E7*G7</f>
        <v>120</v>
      </c>
      <c r="K7" s="19"/>
    </row>
    <row r="8" ht="20.7" customHeight="1">
      <c r="A8" s="14"/>
      <c r="B8" t="s" s="15">
        <v>37</v>
      </c>
      <c r="C8" s="16">
        <v>40</v>
      </c>
      <c r="D8" s="16">
        <v>1</v>
      </c>
      <c r="E8" s="16">
        <v>1</v>
      </c>
      <c r="F8" t="s" s="17">
        <v>12</v>
      </c>
      <c r="G8" s="16">
        <v>7.5</v>
      </c>
      <c r="H8" s="18"/>
      <c r="I8" s="12" cm="1">
        <f t="array" ref="I8">C8*D8*G8</f>
        <v>300</v>
      </c>
      <c r="J8" s="12" cm="1">
        <f t="array" ref="J8">C8*E8*G8</f>
        <v>300</v>
      </c>
      <c r="K8" s="19"/>
    </row>
    <row r="9" ht="20.7" customHeight="1">
      <c r="A9" s="14"/>
      <c r="B9" t="s" s="15">
        <v>38</v>
      </c>
      <c r="C9" s="16">
        <v>40</v>
      </c>
      <c r="D9" s="16">
        <v>2</v>
      </c>
      <c r="E9" s="16">
        <v>2</v>
      </c>
      <c r="F9" t="s" s="17">
        <v>19</v>
      </c>
      <c r="G9" s="16">
        <v>3</v>
      </c>
      <c r="H9" s="18"/>
      <c r="I9" s="12" cm="1">
        <f t="array" ref="I9">C9*D9*G9</f>
        <v>240</v>
      </c>
      <c r="J9" s="12" cm="1">
        <f t="array" ref="J9">C9*E9*G9</f>
        <v>240</v>
      </c>
      <c r="K9" s="19"/>
    </row>
    <row r="10" ht="20.7" customHeight="1">
      <c r="A10" s="14"/>
      <c r="B10" t="s" s="15">
        <v>39</v>
      </c>
      <c r="C10" s="16">
        <v>40</v>
      </c>
      <c r="D10" s="16">
        <v>1</v>
      </c>
      <c r="E10" s="16">
        <v>1</v>
      </c>
      <c r="F10" t="s" s="17">
        <v>19</v>
      </c>
      <c r="G10" s="16">
        <v>3</v>
      </c>
      <c r="H10" s="18"/>
      <c r="I10" s="12" cm="1">
        <f t="array" ref="I10">C10*D10*G10</f>
        <v>120</v>
      </c>
      <c r="J10" s="12" cm="1">
        <f t="array" ref="J10">C10*E10*G10</f>
        <v>120</v>
      </c>
      <c r="K10" s="19"/>
    </row>
    <row r="11" ht="20.7" customHeight="1">
      <c r="A11" s="14"/>
      <c r="B11" t="s" s="15">
        <v>40</v>
      </c>
      <c r="C11" s="16">
        <v>40</v>
      </c>
      <c r="D11" s="16">
        <v>1</v>
      </c>
      <c r="E11" s="16">
        <v>1</v>
      </c>
      <c r="F11" t="s" s="17">
        <v>12</v>
      </c>
      <c r="G11" s="16">
        <v>3</v>
      </c>
      <c r="H11" s="18"/>
      <c r="I11" s="12" cm="1">
        <f t="array" ref="I11">C11*D11*G11</f>
        <v>120</v>
      </c>
      <c r="J11" s="12" cm="1">
        <f t="array" ref="J11">C11*E11*G11</f>
        <v>120</v>
      </c>
      <c r="K11" s="19"/>
    </row>
    <row r="12" ht="20.7" customHeight="1">
      <c r="A12" s="14"/>
      <c r="B12" t="s" s="15">
        <v>41</v>
      </c>
      <c r="C12" t="s" s="17">
        <v>42</v>
      </c>
      <c r="D12" s="16">
        <v>1</v>
      </c>
      <c r="E12" s="16">
        <v>1</v>
      </c>
      <c r="F12" t="s" s="17">
        <v>12</v>
      </c>
      <c r="G12" s="16">
        <v>10</v>
      </c>
      <c r="H12" s="18"/>
      <c r="I12" s="12" cm="1">
        <f t="array" ref="I12">C12*D12*G12</f>
        <v>150</v>
      </c>
      <c r="J12" s="12" cm="1">
        <f t="array" ref="J12">C12*E12*G12</f>
        <v>150</v>
      </c>
      <c r="K12" s="19"/>
    </row>
    <row r="13" ht="20.7" customHeight="1">
      <c r="A13" s="14"/>
      <c r="B13" t="s" s="15">
        <v>43</v>
      </c>
      <c r="C13" s="16">
        <v>15</v>
      </c>
      <c r="D13" s="16">
        <v>1</v>
      </c>
      <c r="E13" s="16">
        <v>1</v>
      </c>
      <c r="F13" t="s" s="17">
        <v>12</v>
      </c>
      <c r="G13" s="16">
        <v>8</v>
      </c>
      <c r="H13" s="18"/>
      <c r="I13" s="9" cm="1">
        <f t="array" ref="I13">C13*D13*G13</f>
        <v>120</v>
      </c>
      <c r="J13" s="9" cm="1">
        <f t="array" ref="J13">C13*E13*G13</f>
        <v>120</v>
      </c>
      <c r="K13" s="19"/>
    </row>
    <row r="14" ht="20.7" customHeight="1">
      <c r="A14" s="31"/>
      <c r="B14" t="s" s="15">
        <v>44</v>
      </c>
      <c r="C14" s="16">
        <v>40</v>
      </c>
      <c r="D14" s="16">
        <v>1</v>
      </c>
      <c r="E14" s="16">
        <v>1</v>
      </c>
      <c r="F14" t="s" s="17">
        <v>12</v>
      </c>
      <c r="G14" s="16">
        <v>3</v>
      </c>
      <c r="H14" s="18"/>
      <c r="I14" s="22" cm="1">
        <f t="array" ref="I14">C14*D14*G14</f>
        <v>120</v>
      </c>
      <c r="J14" s="22" cm="1">
        <f t="array" ref="J14">C14*E14*G14</f>
        <v>120</v>
      </c>
      <c r="K14" s="19"/>
    </row>
    <row r="15" ht="20.7" customHeight="1">
      <c r="A15" s="14"/>
      <c r="B15" t="s" s="15">
        <v>45</v>
      </c>
      <c r="C15" s="16">
        <v>40</v>
      </c>
      <c r="D15" s="16">
        <v>1</v>
      </c>
      <c r="E15" s="16">
        <v>1</v>
      </c>
      <c r="F15" t="s" s="17">
        <v>12</v>
      </c>
      <c r="G15" s="16">
        <v>3</v>
      </c>
      <c r="H15" s="18"/>
      <c r="I15" s="12" cm="1">
        <f t="array" ref="I15">C15*D15*G15</f>
        <v>120</v>
      </c>
      <c r="J15" s="12" cm="1">
        <f t="array" ref="J15">C15*E15*G15</f>
        <v>120</v>
      </c>
      <c r="K15" s="19"/>
    </row>
    <row r="16" ht="20.7" customHeight="1">
      <c r="A16" s="14"/>
      <c r="B16" t="s" s="15">
        <v>46</v>
      </c>
      <c r="C16" s="16">
        <v>15</v>
      </c>
      <c r="D16" s="16">
        <v>1</v>
      </c>
      <c r="E16" s="16">
        <v>1</v>
      </c>
      <c r="F16" t="s" s="17">
        <v>19</v>
      </c>
      <c r="G16" s="16">
        <v>3</v>
      </c>
      <c r="H16" s="18"/>
      <c r="I16" s="12" cm="1">
        <f t="array" ref="I16">C16*D16*G16</f>
        <v>45</v>
      </c>
      <c r="J16" s="12" cm="1">
        <f t="array" ref="J16">C16*E16*G16</f>
        <v>45</v>
      </c>
      <c r="K16" s="19"/>
    </row>
    <row r="17" ht="20.7" customHeight="1">
      <c r="A17" s="14"/>
      <c r="B17" t="s" s="15">
        <v>47</v>
      </c>
      <c r="C17" s="16">
        <v>40</v>
      </c>
      <c r="D17" s="16">
        <v>1</v>
      </c>
      <c r="E17" s="16">
        <v>1</v>
      </c>
      <c r="F17" t="s" s="17">
        <v>12</v>
      </c>
      <c r="G17" s="16">
        <v>3</v>
      </c>
      <c r="H17" s="18"/>
      <c r="I17" s="12" cm="1">
        <f t="array" ref="I17">C17*D17*G17</f>
        <v>120</v>
      </c>
      <c r="J17" s="12" cm="1">
        <f t="array" ref="J17">C17*E17*G17</f>
        <v>120</v>
      </c>
      <c r="K17" s="19"/>
    </row>
    <row r="18" ht="20.7" customHeight="1">
      <c r="A18" s="14"/>
      <c r="B18" t="s" s="15">
        <v>48</v>
      </c>
      <c r="C18" s="16">
        <v>40</v>
      </c>
      <c r="D18" s="16">
        <v>1</v>
      </c>
      <c r="E18" s="16">
        <v>1</v>
      </c>
      <c r="F18" t="s" s="17">
        <v>12</v>
      </c>
      <c r="G18" s="16">
        <v>3</v>
      </c>
      <c r="H18" s="18"/>
      <c r="I18" s="12" cm="1">
        <f t="array" ref="I18">C18*D18*G18</f>
        <v>120</v>
      </c>
      <c r="J18" s="12" cm="1">
        <f t="array" ref="J18">C18*E18*G18</f>
        <v>120</v>
      </c>
      <c r="K18" s="19"/>
    </row>
    <row r="19" ht="20.7" customHeight="1">
      <c r="A19" s="14"/>
      <c r="B19" t="s" s="15">
        <v>49</v>
      </c>
      <c r="C19" s="16">
        <v>1</v>
      </c>
      <c r="D19" s="16">
        <v>1</v>
      </c>
      <c r="E19" s="16">
        <v>1</v>
      </c>
      <c r="F19" t="s" s="17">
        <v>19</v>
      </c>
      <c r="G19" s="16">
        <v>800</v>
      </c>
      <c r="H19" s="18"/>
      <c r="I19" s="12" cm="1">
        <f t="array" ref="I19">C19*D19*G19</f>
        <v>800</v>
      </c>
      <c r="J19" s="12" cm="1">
        <f t="array" ref="J19">C19*E19*G19</f>
        <v>800</v>
      </c>
      <c r="K19" s="19"/>
    </row>
    <row r="20" ht="20.7" customHeight="1">
      <c r="A20" s="14"/>
      <c r="B20" s="15"/>
      <c r="C20" s="18"/>
      <c r="D20" s="18"/>
      <c r="E20" s="18"/>
      <c r="F20" s="17"/>
      <c r="G20" s="18"/>
      <c r="H20" s="18"/>
      <c r="I20" s="12" cm="1">
        <f t="array" ref="I20">C20*D20*G20</f>
        <v>0</v>
      </c>
      <c r="J20" s="12" cm="1">
        <f t="array" ref="J20">C20*E20*G20</f>
        <v>0</v>
      </c>
      <c r="K20" s="19"/>
    </row>
    <row r="21" ht="20.7" customHeight="1">
      <c r="A21" t="s" s="21">
        <v>22</v>
      </c>
      <c r="B21" t="s" s="15">
        <v>23</v>
      </c>
      <c r="C21" s="16">
        <v>1</v>
      </c>
      <c r="D21" s="16">
        <v>2</v>
      </c>
      <c r="E21" s="16">
        <v>2</v>
      </c>
      <c r="F21" t="s" s="17">
        <v>19</v>
      </c>
      <c r="G21" s="16">
        <v>150</v>
      </c>
      <c r="H21" s="18"/>
      <c r="I21" s="12" cm="1">
        <f t="array" ref="I21">C21*D21*G21</f>
        <v>300</v>
      </c>
      <c r="J21" s="12" cm="1">
        <f t="array" ref="J21">C21*E21*G21</f>
        <v>300</v>
      </c>
      <c r="K21" s="19"/>
    </row>
    <row r="22" ht="20.7" customHeight="1">
      <c r="A22" s="14"/>
      <c r="B22" t="s" s="15">
        <v>24</v>
      </c>
      <c r="C22" s="16">
        <v>1</v>
      </c>
      <c r="D22" s="16">
        <v>1</v>
      </c>
      <c r="E22" s="16">
        <v>1</v>
      </c>
      <c r="F22" t="s" s="17">
        <v>19</v>
      </c>
      <c r="G22" s="16">
        <v>20</v>
      </c>
      <c r="H22" s="18"/>
      <c r="I22" s="12" cm="1">
        <f t="array" ref="I22">C22*D22*G22</f>
        <v>20</v>
      </c>
      <c r="J22" s="12" cm="1">
        <f t="array" ref="J22">C22*E22*G22</f>
        <v>20</v>
      </c>
      <c r="K22" s="19"/>
    </row>
    <row r="23" ht="20.7" customHeight="1">
      <c r="A23" s="14"/>
      <c r="B23" t="s" s="15">
        <v>50</v>
      </c>
      <c r="C23" s="16">
        <v>1</v>
      </c>
      <c r="D23" s="16">
        <v>1</v>
      </c>
      <c r="E23" s="16">
        <v>1</v>
      </c>
      <c r="F23" t="s" s="17">
        <v>19</v>
      </c>
      <c r="G23" s="16">
        <v>20</v>
      </c>
      <c r="H23" s="18"/>
      <c r="I23" s="9" cm="1">
        <f t="array" ref="I23">C23*D23*G23</f>
        <v>20</v>
      </c>
      <c r="J23" s="9" cm="1">
        <f t="array" ref="J23">C23*E23*G23</f>
        <v>20</v>
      </c>
      <c r="K23" s="19"/>
    </row>
    <row r="24" ht="20.7" customHeight="1">
      <c r="A24" t="s" s="21">
        <v>25</v>
      </c>
      <c r="B24" s="24"/>
      <c r="C24" s="18"/>
      <c r="D24" s="18"/>
      <c r="E24" s="18"/>
      <c r="F24" s="18"/>
      <c r="G24" s="18"/>
      <c r="H24" s="18"/>
      <c r="I24" s="16" cm="1">
        <f t="array" ref="I24">SUM(I3:I22)</f>
        <v>3335</v>
      </c>
      <c r="J24" s="16" cm="1">
        <f t="array" ref="J24">SUM(J3:J22)</f>
        <v>3495</v>
      </c>
      <c r="K24" s="19"/>
    </row>
    <row r="25" ht="20.7" customHeight="1">
      <c r="A25" t="s" s="21">
        <v>26</v>
      </c>
      <c r="B25" s="24"/>
      <c r="C25" s="18"/>
      <c r="D25" s="18"/>
      <c r="E25" s="18"/>
      <c r="F25" s="18"/>
      <c r="G25" s="18"/>
      <c r="H25" s="18"/>
      <c r="I25" s="16">
        <v>4180</v>
      </c>
      <c r="J25" s="16">
        <v>4180</v>
      </c>
      <c r="K25" s="25">
        <v>20500</v>
      </c>
    </row>
    <row r="26" ht="20.7" customHeight="1">
      <c r="A26" t="s" s="21">
        <v>27</v>
      </c>
      <c r="B26" s="24"/>
      <c r="C26" s="18"/>
      <c r="D26" s="18"/>
      <c r="E26" s="18"/>
      <c r="F26" s="18"/>
      <c r="G26" s="18"/>
      <c r="H26" s="18"/>
      <c r="I26" s="26" cm="1">
        <f t="array" ref="I26">I24/I25</f>
        <v>0.797846889952153</v>
      </c>
      <c r="J26" s="26" cm="1">
        <f t="array" ref="J26">J24/J25</f>
        <v>0.836124401913876</v>
      </c>
      <c r="K26" s="19"/>
    </row>
    <row r="27" ht="20.7" customHeight="1">
      <c r="A27" s="20"/>
      <c r="B27" s="15"/>
      <c r="C27" s="18"/>
      <c r="D27" s="17"/>
      <c r="E27" s="17"/>
      <c r="F27" s="17"/>
      <c r="G27" s="17"/>
      <c r="H27" s="18"/>
      <c r="I27" s="18"/>
      <c r="J27" s="18"/>
      <c r="K27" s="19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32" customWidth="1"/>
    <col min="2" max="2" width="16.6719" style="32" customWidth="1"/>
    <col min="3" max="3" width="10.5" style="32" customWidth="1"/>
    <col min="4" max="4" width="7.67188" style="32" customWidth="1"/>
    <col min="5" max="5" width="8" style="32" customWidth="1"/>
    <col min="6" max="6" width="9.76562" style="32" customWidth="1"/>
    <col min="7" max="7" width="9.35156" style="32" customWidth="1"/>
    <col min="8" max="8" width="1.78125" style="32" customWidth="1"/>
    <col min="9" max="10" width="10.1016" style="32" customWidth="1"/>
    <col min="11" max="11" width="47.4609" style="32" customWidth="1"/>
    <col min="12" max="16384" width="16.3516" style="32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3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s="5">
        <v>0</v>
      </c>
      <c r="I2" t="s" s="4">
        <v>8</v>
      </c>
      <c r="J2" t="s" s="4">
        <v>9</v>
      </c>
      <c r="K2" s="6"/>
    </row>
    <row r="3" ht="20.7" customHeight="1">
      <c r="A3" t="s" s="7">
        <v>10</v>
      </c>
      <c r="B3" t="s" s="8">
        <v>11</v>
      </c>
      <c r="C3" s="9">
        <v>1</v>
      </c>
      <c r="D3" s="9">
        <v>2</v>
      </c>
      <c r="E3" s="9">
        <v>4</v>
      </c>
      <c r="F3" t="s" s="10">
        <v>12</v>
      </c>
      <c r="G3" s="9">
        <v>80</v>
      </c>
      <c r="H3" s="11"/>
      <c r="I3" s="12" cm="1">
        <f t="array" ref="I3">C3*D3*G3</f>
        <v>160</v>
      </c>
      <c r="J3" s="12" cm="1">
        <f t="array" ref="J3">C3*E3*G3</f>
        <v>320</v>
      </c>
      <c r="K3" s="13"/>
    </row>
    <row r="4" ht="20.7" customHeight="1">
      <c r="A4" t="s" s="21">
        <v>22</v>
      </c>
      <c r="B4" t="s" s="15">
        <v>23</v>
      </c>
      <c r="C4" s="16">
        <v>1</v>
      </c>
      <c r="D4" s="16">
        <v>2</v>
      </c>
      <c r="E4" s="16">
        <v>2</v>
      </c>
      <c r="F4" t="s" s="17">
        <v>19</v>
      </c>
      <c r="G4" s="16">
        <v>150</v>
      </c>
      <c r="H4" s="18"/>
      <c r="I4" s="12" cm="1">
        <f t="array" ref="I4">C4*D4*G4</f>
        <v>300</v>
      </c>
      <c r="J4" s="12" cm="1">
        <f t="array" ref="J4">C4*E4*G4</f>
        <v>300</v>
      </c>
      <c r="K4" s="19"/>
    </row>
    <row r="5" ht="20.7" customHeight="1">
      <c r="A5" s="14"/>
      <c r="B5" t="s" s="15">
        <v>24</v>
      </c>
      <c r="C5" s="16">
        <v>1</v>
      </c>
      <c r="D5" s="16">
        <v>1</v>
      </c>
      <c r="E5" s="16">
        <v>1</v>
      </c>
      <c r="F5" t="s" s="17">
        <v>19</v>
      </c>
      <c r="G5" s="16">
        <v>20</v>
      </c>
      <c r="H5" s="18"/>
      <c r="I5" s="12" cm="1">
        <f t="array" ref="I5">C5*D5*G5</f>
        <v>20</v>
      </c>
      <c r="J5" s="12" cm="1">
        <f t="array" ref="J5">C5*E5*G5</f>
        <v>20</v>
      </c>
      <c r="K5" s="19"/>
    </row>
    <row r="6" ht="20.7" customHeight="1">
      <c r="A6" s="20"/>
      <c r="B6" t="s" s="15">
        <v>51</v>
      </c>
      <c r="C6" s="16">
        <v>1</v>
      </c>
      <c r="D6" s="16">
        <v>1</v>
      </c>
      <c r="E6" s="16">
        <v>1</v>
      </c>
      <c r="F6" t="s" s="17">
        <v>19</v>
      </c>
      <c r="G6" s="16">
        <v>80</v>
      </c>
      <c r="H6" s="18"/>
      <c r="I6" s="12" cm="1">
        <f t="array" ref="I6">C6*D6*G6</f>
        <v>80</v>
      </c>
      <c r="J6" s="12" cm="1">
        <f t="array" ref="J6">C6*E6*G6</f>
        <v>80</v>
      </c>
      <c r="K6" s="19"/>
    </row>
    <row r="7" ht="32.7" customHeight="1">
      <c r="A7" t="s" s="21">
        <v>52</v>
      </c>
      <c r="B7" t="s" s="15">
        <v>53</v>
      </c>
      <c r="C7" s="16">
        <v>1</v>
      </c>
      <c r="D7" s="16">
        <v>1</v>
      </c>
      <c r="E7" s="16">
        <v>1</v>
      </c>
      <c r="F7" t="s" s="17">
        <v>54</v>
      </c>
      <c r="G7" s="16">
        <v>3000</v>
      </c>
      <c r="H7" s="18"/>
      <c r="I7" s="12" cm="1">
        <f t="array" ref="I7">C7*D7*G7</f>
        <v>3000</v>
      </c>
      <c r="J7" s="12" cm="1">
        <f t="array" ref="J7">C7*E7*G7</f>
        <v>3000</v>
      </c>
      <c r="K7" t="s" s="33">
        <v>55</v>
      </c>
    </row>
    <row r="8" ht="20.7" customHeight="1">
      <c r="A8" s="20"/>
      <c r="B8" s="15"/>
      <c r="C8" s="18"/>
      <c r="D8" s="18"/>
      <c r="E8" s="18"/>
      <c r="F8" s="18"/>
      <c r="G8" s="16">
        <v>8</v>
      </c>
      <c r="H8" s="18"/>
      <c r="I8" s="9" cm="1">
        <f t="array" ref="I8">C8*D8*G8</f>
        <v>0</v>
      </c>
      <c r="J8" s="9" cm="1">
        <f t="array" ref="J8">C8*E8*G8</f>
        <v>0</v>
      </c>
      <c r="K8" s="19"/>
    </row>
    <row r="9" ht="20.7" customHeight="1">
      <c r="A9" t="s" s="21">
        <v>25</v>
      </c>
      <c r="B9" s="24"/>
      <c r="C9" s="18"/>
      <c r="D9" s="18"/>
      <c r="E9" s="18"/>
      <c r="F9" s="18"/>
      <c r="G9" s="18"/>
      <c r="H9" s="18"/>
      <c r="I9" s="16" cm="1">
        <f t="array" ref="I9">SUM(I3:I8)</f>
        <v>3560</v>
      </c>
      <c r="J9" s="16" cm="1">
        <f t="array" ref="J9">SUM(J3:J8)</f>
        <v>3720</v>
      </c>
      <c r="K9" s="19"/>
    </row>
    <row r="10" ht="20.7" customHeight="1">
      <c r="A10" t="s" s="21">
        <v>26</v>
      </c>
      <c r="B10" s="24"/>
      <c r="C10" s="18"/>
      <c r="D10" s="18"/>
      <c r="E10" s="18"/>
      <c r="F10" s="18"/>
      <c r="G10" s="18"/>
      <c r="H10" s="18"/>
      <c r="I10" s="16">
        <v>4280</v>
      </c>
      <c r="J10" s="16">
        <v>4280</v>
      </c>
      <c r="K10" s="25">
        <v>20500</v>
      </c>
    </row>
    <row r="11" ht="20.7" customHeight="1">
      <c r="A11" t="s" s="21">
        <v>27</v>
      </c>
      <c r="B11" s="24"/>
      <c r="C11" s="18"/>
      <c r="D11" s="18"/>
      <c r="E11" s="18"/>
      <c r="F11" s="18"/>
      <c r="G11" s="18"/>
      <c r="H11" s="18"/>
      <c r="I11" s="26" cm="1">
        <f t="array" ref="I11">I9/I10</f>
        <v>0.831775700934579</v>
      </c>
      <c r="J11" s="26" cm="1">
        <f t="array" ref="J11">J9/J10</f>
        <v>0.869158878504673</v>
      </c>
      <c r="K11" s="19"/>
    </row>
    <row r="12" ht="20.7" customHeight="1">
      <c r="A12" s="20"/>
      <c r="B12" s="15"/>
      <c r="C12" s="18"/>
      <c r="D12" s="17"/>
      <c r="E12" s="17"/>
      <c r="F12" s="17"/>
      <c r="G12" s="17"/>
      <c r="H12" s="18"/>
      <c r="I12" s="18"/>
      <c r="J12" s="18"/>
      <c r="K12" s="19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34" customWidth="1"/>
    <col min="2" max="2" width="16.6719" style="34" customWidth="1"/>
    <col min="3" max="3" width="10.5" style="34" customWidth="1"/>
    <col min="4" max="4" width="7.67188" style="34" customWidth="1"/>
    <col min="5" max="5" width="8" style="34" customWidth="1"/>
    <col min="6" max="6" width="9.76562" style="34" customWidth="1"/>
    <col min="7" max="7" width="9.35156" style="34" customWidth="1"/>
    <col min="8" max="8" width="1.78125" style="34" customWidth="1"/>
    <col min="9" max="10" width="10.1016" style="34" customWidth="1"/>
    <col min="11" max="11" width="10.6406" style="34" customWidth="1"/>
    <col min="12" max="16384" width="16.3516" style="34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3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s="5">
        <v>0</v>
      </c>
      <c r="I2" t="s" s="4">
        <v>8</v>
      </c>
      <c r="J2" t="s" s="4">
        <v>9</v>
      </c>
      <c r="K2" s="6"/>
    </row>
    <row r="3" ht="20.7" customHeight="1">
      <c r="A3" t="s" s="7">
        <v>10</v>
      </c>
      <c r="B3" t="s" s="8">
        <v>11</v>
      </c>
      <c r="C3" s="9">
        <v>1</v>
      </c>
      <c r="D3" s="9">
        <v>2</v>
      </c>
      <c r="E3" s="9">
        <v>4</v>
      </c>
      <c r="F3" t="s" s="10">
        <v>12</v>
      </c>
      <c r="G3" s="9">
        <v>80</v>
      </c>
      <c r="H3" s="11"/>
      <c r="I3" s="12" cm="1">
        <f t="array" ref="I3">C3*D3*G3</f>
        <v>160</v>
      </c>
      <c r="J3" s="12" cm="1">
        <f t="array" ref="J3">C3*E3*G3</f>
        <v>320</v>
      </c>
      <c r="K3" s="13"/>
    </row>
    <row r="4" ht="20.7" customHeight="1">
      <c r="A4" t="s" s="23">
        <v>20</v>
      </c>
      <c r="B4" t="s" s="15">
        <v>56</v>
      </c>
      <c r="C4" s="16">
        <v>1</v>
      </c>
      <c r="D4" s="16">
        <v>1</v>
      </c>
      <c r="E4" s="16">
        <v>2</v>
      </c>
      <c r="F4" t="s" s="17">
        <v>19</v>
      </c>
      <c r="G4" t="s" s="17">
        <v>42</v>
      </c>
      <c r="H4" s="18"/>
      <c r="I4" s="12" cm="1">
        <f t="array" ref="I4">C4*D4*G4</f>
        <v>15</v>
      </c>
      <c r="J4" s="12" cm="1">
        <f t="array" ref="J4">C4*E4*G4</f>
        <v>30</v>
      </c>
      <c r="K4" s="19"/>
    </row>
    <row r="5" ht="20.7" customHeight="1">
      <c r="A5" s="14"/>
      <c r="B5" t="s" s="15">
        <v>57</v>
      </c>
      <c r="C5" s="16">
        <v>1</v>
      </c>
      <c r="D5" s="16">
        <v>3</v>
      </c>
      <c r="E5" s="16">
        <v>6</v>
      </c>
      <c r="F5" t="s" s="17">
        <v>19</v>
      </c>
      <c r="G5" t="s" s="17">
        <v>42</v>
      </c>
      <c r="H5" s="18"/>
      <c r="I5" s="12" cm="1">
        <f t="array" ref="I5">C5*D5*G5</f>
        <v>45</v>
      </c>
      <c r="J5" s="12" cm="1">
        <f t="array" ref="J5">C5*E5*G5</f>
        <v>90</v>
      </c>
      <c r="K5" s="19"/>
    </row>
    <row r="6" ht="20.7" customHeight="1">
      <c r="A6" s="14"/>
      <c r="B6" t="s" s="15">
        <v>58</v>
      </c>
      <c r="C6" s="16">
        <v>1</v>
      </c>
      <c r="D6" s="16">
        <v>2</v>
      </c>
      <c r="E6" s="16">
        <v>3</v>
      </c>
      <c r="F6" t="s" s="17">
        <v>12</v>
      </c>
      <c r="G6" s="16">
        <v>40</v>
      </c>
      <c r="H6" s="18"/>
      <c r="I6" s="12" cm="1">
        <f t="array" ref="I6">C6*D6*G6</f>
        <v>80</v>
      </c>
      <c r="J6" s="12" cm="1">
        <f t="array" ref="J6">C6*E6*G6</f>
        <v>120</v>
      </c>
      <c r="K6" s="19"/>
    </row>
    <row r="7" ht="20.7" customHeight="1">
      <c r="A7" s="14"/>
      <c r="B7" t="s" s="15">
        <v>59</v>
      </c>
      <c r="C7" s="16">
        <v>1</v>
      </c>
      <c r="D7" s="16">
        <v>1</v>
      </c>
      <c r="E7" s="16">
        <v>1</v>
      </c>
      <c r="F7" t="s" s="17">
        <v>12</v>
      </c>
      <c r="G7" s="16">
        <v>150</v>
      </c>
      <c r="H7" s="18"/>
      <c r="I7" s="9" cm="1">
        <f t="array" ref="I7">C7*D7*G7</f>
        <v>150</v>
      </c>
      <c r="J7" s="9" cm="1">
        <f t="array" ref="J7">C7*E7*G7</f>
        <v>150</v>
      </c>
      <c r="K7" s="19"/>
    </row>
    <row r="8" ht="20.7" customHeight="1">
      <c r="A8" s="14"/>
      <c r="B8" t="s" s="15">
        <v>60</v>
      </c>
      <c r="C8" s="16">
        <v>2</v>
      </c>
      <c r="D8" s="16">
        <v>10</v>
      </c>
      <c r="E8" s="16">
        <v>10</v>
      </c>
      <c r="F8" t="s" s="17">
        <v>12</v>
      </c>
      <c r="G8" s="16">
        <v>10</v>
      </c>
      <c r="H8" s="18"/>
      <c r="I8" s="22" cm="1">
        <f t="array" ref="I8">C8*D8*G8</f>
        <v>200</v>
      </c>
      <c r="J8" s="22" cm="1">
        <f t="array" ref="J8">C8*E8*G8</f>
        <v>200</v>
      </c>
      <c r="K8" s="19"/>
    </row>
    <row r="9" ht="20.7" customHeight="1">
      <c r="A9" s="14"/>
      <c r="B9" t="s" s="15">
        <v>61</v>
      </c>
      <c r="C9" s="16">
        <v>8</v>
      </c>
      <c r="D9" s="16">
        <v>9</v>
      </c>
      <c r="E9" s="16">
        <v>12</v>
      </c>
      <c r="F9" t="s" s="17">
        <v>12</v>
      </c>
      <c r="G9" s="16">
        <v>5</v>
      </c>
      <c r="H9" s="18"/>
      <c r="I9" s="12" cm="1">
        <f t="array" ref="I9">C9*D9*G9</f>
        <v>360</v>
      </c>
      <c r="J9" s="12" cm="1">
        <f t="array" ref="J9">C9*E9*G9</f>
        <v>480</v>
      </c>
      <c r="K9" s="19"/>
    </row>
    <row r="10" ht="20.7" customHeight="1">
      <c r="A10" s="14"/>
      <c r="B10" t="s" s="15">
        <v>62</v>
      </c>
      <c r="C10" s="16">
        <v>4</v>
      </c>
      <c r="D10" s="16">
        <v>12</v>
      </c>
      <c r="E10" s="16">
        <v>12</v>
      </c>
      <c r="F10" t="s" s="17">
        <v>12</v>
      </c>
      <c r="G10" s="16">
        <v>6</v>
      </c>
      <c r="H10" s="18"/>
      <c r="I10" s="12" cm="1">
        <f t="array" ref="I10">C10*D10*G10</f>
        <v>288</v>
      </c>
      <c r="J10" s="12" cm="1">
        <f t="array" ref="J10">C10*E10*G10</f>
        <v>288</v>
      </c>
      <c r="K10" s="19"/>
    </row>
    <row r="11" ht="20.7" customHeight="1">
      <c r="A11" s="14"/>
      <c r="B11" t="s" s="15">
        <v>63</v>
      </c>
      <c r="C11" s="16">
        <v>8</v>
      </c>
      <c r="D11" s="16">
        <v>4</v>
      </c>
      <c r="E11" s="16">
        <v>4</v>
      </c>
      <c r="F11" t="s" s="17">
        <v>12</v>
      </c>
      <c r="G11" s="16">
        <v>5</v>
      </c>
      <c r="H11" s="18"/>
      <c r="I11" s="9" cm="1">
        <f t="array" ref="I11">C11*D11*G11</f>
        <v>160</v>
      </c>
      <c r="J11" s="9" cm="1">
        <f t="array" ref="J11">C11*E11*G11</f>
        <v>160</v>
      </c>
      <c r="K11" s="19"/>
    </row>
    <row r="12" ht="20.7" customHeight="1">
      <c r="A12" t="s" s="21">
        <v>22</v>
      </c>
      <c r="B12" t="s" s="15">
        <v>23</v>
      </c>
      <c r="C12" s="16">
        <v>1</v>
      </c>
      <c r="D12" s="16">
        <v>2</v>
      </c>
      <c r="E12" s="16">
        <v>2</v>
      </c>
      <c r="F12" t="s" s="17">
        <v>19</v>
      </c>
      <c r="G12" s="16">
        <v>150</v>
      </c>
      <c r="H12" s="18"/>
      <c r="I12" s="22" cm="1">
        <f t="array" ref="I12">C12*D12*G12</f>
        <v>300</v>
      </c>
      <c r="J12" s="22" cm="1">
        <f t="array" ref="J12">C12*E12*G12</f>
        <v>300</v>
      </c>
      <c r="K12" s="19"/>
    </row>
    <row r="13" ht="20.7" customHeight="1">
      <c r="A13" s="14"/>
      <c r="B13" t="s" s="15">
        <v>24</v>
      </c>
      <c r="C13" s="16">
        <v>1</v>
      </c>
      <c r="D13" s="16">
        <v>1</v>
      </c>
      <c r="E13" s="16">
        <v>1</v>
      </c>
      <c r="F13" t="s" s="17">
        <v>19</v>
      </c>
      <c r="G13" s="16">
        <v>20</v>
      </c>
      <c r="H13" s="18"/>
      <c r="I13" s="12" cm="1">
        <f t="array" ref="I13">C13*D13*G13</f>
        <v>20</v>
      </c>
      <c r="J13" s="12" cm="1">
        <f t="array" ref="J13">C13*E13*G13</f>
        <v>20</v>
      </c>
      <c r="K13" s="19"/>
    </row>
    <row r="14" ht="20.7" customHeight="1">
      <c r="A14" s="20"/>
      <c r="B14" t="s" s="15">
        <v>64</v>
      </c>
      <c r="C14" s="16">
        <v>1</v>
      </c>
      <c r="D14" s="16">
        <v>1</v>
      </c>
      <c r="E14" s="16">
        <v>1</v>
      </c>
      <c r="F14" t="s" s="17">
        <v>19</v>
      </c>
      <c r="G14" s="16">
        <v>600</v>
      </c>
      <c r="H14" s="18"/>
      <c r="I14" s="9" cm="1">
        <f t="array" ref="I14">C14*D14*G14</f>
        <v>600</v>
      </c>
      <c r="J14" s="9" cm="1">
        <f t="array" ref="J14">C14*E14*G14</f>
        <v>600</v>
      </c>
      <c r="K14" s="19"/>
    </row>
    <row r="15" ht="20.7" customHeight="1">
      <c r="A15" t="s" s="21">
        <v>25</v>
      </c>
      <c r="B15" s="24"/>
      <c r="C15" s="18"/>
      <c r="D15" s="18"/>
      <c r="E15" s="18"/>
      <c r="F15" s="18"/>
      <c r="G15" s="18"/>
      <c r="H15" s="18"/>
      <c r="I15" s="16" cm="1">
        <f t="array" ref="I15">SUM(I3:I14)</f>
        <v>2378</v>
      </c>
      <c r="J15" s="16" cm="1">
        <f t="array" ref="J15">SUM(J3:J14)</f>
        <v>2758</v>
      </c>
      <c r="K15" s="19"/>
    </row>
    <row r="16" ht="20.7" customHeight="1">
      <c r="A16" t="s" s="21">
        <v>26</v>
      </c>
      <c r="B16" s="24"/>
      <c r="C16" s="18"/>
      <c r="D16" s="18"/>
      <c r="E16" s="18"/>
      <c r="F16" s="18"/>
      <c r="G16" s="18"/>
      <c r="H16" s="18"/>
      <c r="I16" s="16">
        <v>3230</v>
      </c>
      <c r="J16" s="16">
        <v>3230</v>
      </c>
      <c r="K16" s="25">
        <v>20500</v>
      </c>
    </row>
    <row r="17" ht="20.7" customHeight="1">
      <c r="A17" t="s" s="21">
        <v>27</v>
      </c>
      <c r="B17" s="24"/>
      <c r="C17" s="18"/>
      <c r="D17" s="18"/>
      <c r="E17" s="18"/>
      <c r="F17" s="18"/>
      <c r="G17" s="18"/>
      <c r="H17" s="18"/>
      <c r="I17" s="26" cm="1">
        <f t="array" ref="I17">I15/I16</f>
        <v>0.736222910216718</v>
      </c>
      <c r="J17" s="26" cm="1">
        <f t="array" ref="J17">J15/J16</f>
        <v>0.853869969040248</v>
      </c>
      <c r="K17" s="19"/>
    </row>
    <row r="18" ht="20.7" customHeight="1">
      <c r="A18" s="20"/>
      <c r="B18" s="15"/>
      <c r="C18" s="18"/>
      <c r="D18" s="17"/>
      <c r="E18" s="17"/>
      <c r="F18" s="17"/>
      <c r="G18" s="17"/>
      <c r="H18" s="18"/>
      <c r="I18" s="18"/>
      <c r="J18" s="18"/>
      <c r="K18" s="19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5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35" customWidth="1"/>
    <col min="2" max="2" width="16.6719" style="35" customWidth="1"/>
    <col min="3" max="3" width="10.5" style="35" customWidth="1"/>
    <col min="4" max="4" width="7.67188" style="35" customWidth="1"/>
    <col min="5" max="5" width="8" style="35" customWidth="1"/>
    <col min="6" max="6" width="9.76562" style="35" customWidth="1"/>
    <col min="7" max="7" width="9.35156" style="35" customWidth="1"/>
    <col min="8" max="8" width="1.78125" style="35" customWidth="1"/>
    <col min="9" max="10" width="10.1016" style="35" customWidth="1"/>
    <col min="11" max="11" width="1.5" style="35" customWidth="1"/>
    <col min="12" max="12" width="11.6719" style="35" customWidth="1"/>
    <col min="13" max="13" width="28.4375" style="35" customWidth="1"/>
    <col min="14" max="16384" width="16.3516" style="35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3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s="5">
        <v>0</v>
      </c>
      <c r="I2" t="s" s="4">
        <v>8</v>
      </c>
      <c r="J2" t="s" s="4">
        <v>9</v>
      </c>
      <c r="K2" s="6"/>
      <c r="L2" s="6"/>
      <c r="M2" s="6"/>
    </row>
    <row r="3" ht="20.7" customHeight="1">
      <c r="A3" t="s" s="7">
        <v>10</v>
      </c>
      <c r="B3" t="s" s="8">
        <v>11</v>
      </c>
      <c r="C3" s="9">
        <v>1</v>
      </c>
      <c r="D3" s="9">
        <v>12</v>
      </c>
      <c r="E3" s="9">
        <v>20</v>
      </c>
      <c r="F3" t="s" s="10">
        <v>12</v>
      </c>
      <c r="G3" s="9">
        <v>80</v>
      </c>
      <c r="H3" s="11"/>
      <c r="I3" s="12" cm="1">
        <f t="array" ref="I3">C3*D3*G3</f>
        <v>960</v>
      </c>
      <c r="J3" s="12" cm="1">
        <f t="array" ref="J3">C3*E3*G3</f>
        <v>1600</v>
      </c>
      <c r="K3" s="13"/>
      <c r="L3" s="36"/>
      <c r="M3" s="36"/>
    </row>
    <row r="4" ht="20.7" customHeight="1">
      <c r="A4" s="14"/>
      <c r="B4" t="s" s="15">
        <v>13</v>
      </c>
      <c r="C4" s="16">
        <v>1</v>
      </c>
      <c r="D4" s="16">
        <v>1</v>
      </c>
      <c r="E4" s="16">
        <v>3</v>
      </c>
      <c r="F4" t="s" s="17">
        <v>12</v>
      </c>
      <c r="G4" s="16">
        <v>40</v>
      </c>
      <c r="H4" s="18"/>
      <c r="I4" s="12" cm="1">
        <f t="array" ref="I4">C4*D4*G4</f>
        <v>40</v>
      </c>
      <c r="J4" s="12" cm="1">
        <f t="array" ref="J4">C4*E4*G4</f>
        <v>120</v>
      </c>
      <c r="K4" s="19"/>
      <c r="L4" s="37"/>
      <c r="M4" s="37"/>
    </row>
    <row r="5" ht="20.7" customHeight="1">
      <c r="A5" s="14"/>
      <c r="B5" t="s" s="15">
        <v>14</v>
      </c>
      <c r="C5" s="16">
        <v>1</v>
      </c>
      <c r="D5" s="16">
        <v>1</v>
      </c>
      <c r="E5" s="16">
        <v>1</v>
      </c>
      <c r="F5" t="s" s="17">
        <v>12</v>
      </c>
      <c r="G5" s="16">
        <v>150</v>
      </c>
      <c r="H5" s="18"/>
      <c r="I5" s="12" cm="1">
        <f t="array" ref="I5">C5*D5*G5</f>
        <v>150</v>
      </c>
      <c r="J5" s="12" cm="1">
        <f t="array" ref="J5">C5*E5*G5</f>
        <v>150</v>
      </c>
      <c r="K5" s="19"/>
      <c r="L5" s="37"/>
      <c r="M5" s="37"/>
    </row>
    <row r="6" ht="20.7" customHeight="1">
      <c r="A6" s="14"/>
      <c r="B6" s="15"/>
      <c r="C6" s="18"/>
      <c r="D6" s="18"/>
      <c r="E6" s="18"/>
      <c r="F6" s="17"/>
      <c r="G6" s="18"/>
      <c r="H6" s="18"/>
      <c r="I6" s="12" cm="1">
        <f t="array" ref="I6">C6*D6*G6</f>
        <v>0</v>
      </c>
      <c r="J6" s="12" cm="1">
        <f t="array" ref="J6">C6*E6*G6</f>
        <v>0</v>
      </c>
      <c r="K6" s="19"/>
      <c r="L6" s="37"/>
      <c r="M6" s="37"/>
    </row>
    <row r="7" ht="20.7" customHeight="1">
      <c r="A7" s="14"/>
      <c r="B7" t="s" s="15">
        <v>17</v>
      </c>
      <c r="C7" s="16">
        <v>160</v>
      </c>
      <c r="D7" s="16">
        <v>4</v>
      </c>
      <c r="E7" s="16">
        <v>4</v>
      </c>
      <c r="F7" t="s" s="17">
        <v>12</v>
      </c>
      <c r="G7" s="16">
        <v>2</v>
      </c>
      <c r="H7" s="18"/>
      <c r="I7" s="12" cm="1">
        <f t="array" ref="I7">C7*D7*G7</f>
        <v>1280</v>
      </c>
      <c r="J7" s="12" cm="1">
        <f t="array" ref="J7">C7*E7*G7</f>
        <v>1280</v>
      </c>
      <c r="K7" s="19"/>
      <c r="L7" s="37"/>
      <c r="M7" s="37"/>
    </row>
    <row r="8" ht="20.7" customHeight="1">
      <c r="A8" s="14"/>
      <c r="B8" t="s" s="15">
        <v>28</v>
      </c>
      <c r="C8" s="16">
        <v>80</v>
      </c>
      <c r="D8" s="16">
        <v>6</v>
      </c>
      <c r="E8" s="16">
        <v>8</v>
      </c>
      <c r="F8" t="s" s="17">
        <v>19</v>
      </c>
      <c r="G8" s="16">
        <v>2</v>
      </c>
      <c r="H8" s="18"/>
      <c r="I8" s="12" cm="1">
        <f t="array" ref="I8">C8*D8*G8</f>
        <v>960</v>
      </c>
      <c r="J8" s="12" cm="1">
        <f t="array" ref="J8">C8*E8*G8</f>
        <v>1280</v>
      </c>
      <c r="K8" s="19"/>
      <c r="L8" s="37"/>
      <c r="M8" s="37"/>
    </row>
    <row r="9" ht="20.7" customHeight="1">
      <c r="A9" t="s" s="21">
        <v>16</v>
      </c>
      <c r="B9" t="s" s="15">
        <v>29</v>
      </c>
      <c r="C9" s="16">
        <v>40</v>
      </c>
      <c r="D9" s="16">
        <v>12</v>
      </c>
      <c r="E9" s="16">
        <v>15</v>
      </c>
      <c r="F9" t="s" s="17">
        <v>19</v>
      </c>
      <c r="G9" s="16">
        <v>2</v>
      </c>
      <c r="H9" s="18"/>
      <c r="I9" s="12" cm="1">
        <f t="array" ref="I9">C9*D9*G9</f>
        <v>960</v>
      </c>
      <c r="J9" s="12" cm="1">
        <f t="array" ref="J9">C9*E9*G9</f>
        <v>1200</v>
      </c>
      <c r="K9" s="19"/>
      <c r="L9" s="37"/>
      <c r="M9" s="37"/>
    </row>
    <row r="10" ht="20.7" customHeight="1">
      <c r="A10" s="14"/>
      <c r="B10" t="s" s="15">
        <v>18</v>
      </c>
      <c r="C10" s="16">
        <v>800</v>
      </c>
      <c r="D10" s="16">
        <v>1</v>
      </c>
      <c r="E10" s="16">
        <v>1</v>
      </c>
      <c r="F10" t="s" s="17">
        <v>19</v>
      </c>
      <c r="G10" s="16">
        <v>1.3</v>
      </c>
      <c r="H10" s="18"/>
      <c r="I10" s="12" cm="1">
        <f t="array" ref="I10">C10*D10*G10</f>
        <v>1040</v>
      </c>
      <c r="J10" s="12" cm="1">
        <f t="array" ref="J10">C10*E10*G10</f>
        <v>1040</v>
      </c>
      <c r="K10" s="19"/>
      <c r="L10" s="38" cm="1">
        <f t="array" ref="L10">J9+J8+J7</f>
        <v>3760</v>
      </c>
      <c r="M10" t="s" s="39">
        <v>65</v>
      </c>
    </row>
    <row r="11" ht="20.7" customHeight="1">
      <c r="A11" s="14"/>
      <c r="B11" s="15"/>
      <c r="C11" s="18"/>
      <c r="D11" s="18"/>
      <c r="E11" s="18"/>
      <c r="F11" s="18"/>
      <c r="G11" s="18"/>
      <c r="H11" s="18"/>
      <c r="I11" s="12" cm="1">
        <f t="array" ref="I11">C11*D11*G11</f>
        <v>0</v>
      </c>
      <c r="J11" s="12" cm="1">
        <f t="array" ref="J11">C11*E11*G11</f>
        <v>0</v>
      </c>
      <c r="K11" s="19"/>
      <c r="L11" s="37"/>
      <c r="M11" s="37"/>
    </row>
    <row r="12" ht="20.7" customHeight="1">
      <c r="A12" s="14"/>
      <c r="B12" s="15"/>
      <c r="C12" s="18"/>
      <c r="D12" s="18"/>
      <c r="E12" s="18"/>
      <c r="F12" s="18"/>
      <c r="G12" s="18"/>
      <c r="H12" s="18"/>
      <c r="I12" s="12" cm="1">
        <f t="array" ref="I12">C12*D12*G12</f>
        <v>0</v>
      </c>
      <c r="J12" s="12" cm="1">
        <f t="array" ref="J12">C12*E12*G12</f>
        <v>0</v>
      </c>
      <c r="K12" s="19"/>
      <c r="L12" s="37"/>
      <c r="M12" s="37"/>
    </row>
    <row r="13" ht="20.7" customHeight="1">
      <c r="A13" s="14"/>
      <c r="B13" s="15"/>
      <c r="C13" s="18"/>
      <c r="D13" s="18"/>
      <c r="E13" s="18"/>
      <c r="F13" s="17"/>
      <c r="G13" s="17"/>
      <c r="H13" s="18"/>
      <c r="I13" s="12" cm="1">
        <f t="array" ref="I13">C13*D13*G13</f>
        <v>0</v>
      </c>
      <c r="J13" s="12" cm="1">
        <f t="array" ref="J13">C13*E13*G13</f>
        <v>0</v>
      </c>
      <c r="K13" s="19"/>
      <c r="L13" s="37"/>
      <c r="M13" s="37"/>
    </row>
    <row r="14" ht="20.7" customHeight="1">
      <c r="A14" t="s" s="23">
        <v>20</v>
      </c>
      <c r="B14" t="s" s="15">
        <v>56</v>
      </c>
      <c r="C14" s="16">
        <v>1</v>
      </c>
      <c r="D14" s="16">
        <v>1</v>
      </c>
      <c r="E14" s="16">
        <v>2</v>
      </c>
      <c r="F14" t="s" s="17">
        <v>19</v>
      </c>
      <c r="G14" t="s" s="17">
        <v>42</v>
      </c>
      <c r="H14" s="18"/>
      <c r="I14" s="12" cm="1">
        <f t="array" ref="I14">C14*D14*G14</f>
        <v>15</v>
      </c>
      <c r="J14" s="12" cm="1">
        <f t="array" ref="J14">C14*E14*G14</f>
        <v>30</v>
      </c>
      <c r="K14" s="19"/>
      <c r="L14" s="38" cm="1">
        <f t="array" ref="L14">J14+J15+J16+J17</f>
        <v>390</v>
      </c>
      <c r="M14" s="37"/>
    </row>
    <row r="15" ht="20.7" customHeight="1">
      <c r="A15" s="14"/>
      <c r="B15" t="s" s="15">
        <v>57</v>
      </c>
      <c r="C15" s="16">
        <v>1</v>
      </c>
      <c r="D15" s="16">
        <v>3</v>
      </c>
      <c r="E15" s="16">
        <v>6</v>
      </c>
      <c r="F15" t="s" s="17">
        <v>19</v>
      </c>
      <c r="G15" t="s" s="17">
        <v>42</v>
      </c>
      <c r="H15" s="18"/>
      <c r="I15" s="12" cm="1">
        <f t="array" ref="I15">C15*D15*G15</f>
        <v>45</v>
      </c>
      <c r="J15" s="12" cm="1">
        <f t="array" ref="J15">C15*E15*G15</f>
        <v>90</v>
      </c>
      <c r="K15" s="19"/>
      <c r="L15" s="38" cm="1">
        <f t="array" ref="L15">J18+J19+J20+J21</f>
        <v>1128</v>
      </c>
      <c r="M15" s="37"/>
    </row>
    <row r="16" ht="20.7" customHeight="1">
      <c r="A16" s="14"/>
      <c r="B16" t="s" s="15">
        <v>58</v>
      </c>
      <c r="C16" s="16">
        <v>1</v>
      </c>
      <c r="D16" s="16">
        <v>2</v>
      </c>
      <c r="E16" s="16">
        <v>3</v>
      </c>
      <c r="F16" t="s" s="17">
        <v>12</v>
      </c>
      <c r="G16" s="16">
        <v>40</v>
      </c>
      <c r="H16" s="18"/>
      <c r="I16" s="12" cm="1">
        <f t="array" ref="I16">C16*D16*G16</f>
        <v>80</v>
      </c>
      <c r="J16" s="12" cm="1">
        <f t="array" ref="J16">C16*E16*G16</f>
        <v>120</v>
      </c>
      <c r="K16" s="19"/>
      <c r="L16" s="38">
        <v>5</v>
      </c>
      <c r="M16" s="37"/>
    </row>
    <row r="17" ht="20.7" customHeight="1">
      <c r="A17" s="14"/>
      <c r="B17" t="s" s="15">
        <v>59</v>
      </c>
      <c r="C17" s="16">
        <v>1</v>
      </c>
      <c r="D17" s="16">
        <v>1</v>
      </c>
      <c r="E17" s="16">
        <v>1</v>
      </c>
      <c r="F17" t="s" s="17">
        <v>12</v>
      </c>
      <c r="G17" s="16">
        <v>150</v>
      </c>
      <c r="H17" s="18"/>
      <c r="I17" s="9" cm="1">
        <f t="array" ref="I17">C17*D17*G17</f>
        <v>150</v>
      </c>
      <c r="J17" s="9" cm="1">
        <f t="array" ref="J17">C17*E17*G17</f>
        <v>150</v>
      </c>
      <c r="K17" s="19"/>
      <c r="L17" s="37"/>
      <c r="M17" s="37"/>
    </row>
    <row r="18" ht="20.7" customHeight="1">
      <c r="A18" s="14"/>
      <c r="B18" t="s" s="15">
        <v>60</v>
      </c>
      <c r="C18" s="16">
        <v>2</v>
      </c>
      <c r="D18" s="16">
        <v>10</v>
      </c>
      <c r="E18" s="16">
        <v>10</v>
      </c>
      <c r="F18" t="s" s="17">
        <v>12</v>
      </c>
      <c r="G18" s="16">
        <v>10</v>
      </c>
      <c r="H18" s="18"/>
      <c r="I18" s="22" cm="1">
        <f t="array" ref="I18">C18*D18*G18</f>
        <v>200</v>
      </c>
      <c r="J18" s="22" cm="1">
        <f t="array" ref="J18">C18*E18*G18</f>
        <v>200</v>
      </c>
      <c r="K18" s="19"/>
      <c r="L18" s="38" cm="1">
        <f t="array" ref="L18">J18+J16+J15+J14</f>
        <v>440</v>
      </c>
      <c r="M18" s="37"/>
    </row>
    <row r="19" ht="20.7" customHeight="1">
      <c r="A19" s="14"/>
      <c r="B19" t="s" s="15">
        <v>61</v>
      </c>
      <c r="C19" s="16">
        <v>8</v>
      </c>
      <c r="D19" s="16">
        <v>9</v>
      </c>
      <c r="E19" s="16">
        <v>12</v>
      </c>
      <c r="F19" t="s" s="17">
        <v>12</v>
      </c>
      <c r="G19" s="16">
        <v>5</v>
      </c>
      <c r="H19" s="18"/>
      <c r="I19" s="12" cm="1">
        <f t="array" ref="I19">C19*D19*G19</f>
        <v>360</v>
      </c>
      <c r="J19" s="12" cm="1">
        <f t="array" ref="J19">C19*E19*G19</f>
        <v>480</v>
      </c>
      <c r="K19" s="19"/>
      <c r="L19" s="38" cm="1">
        <f t="array" ref="L19">J19+J18+J16+J15</f>
        <v>890</v>
      </c>
      <c r="M19" s="37"/>
    </row>
    <row r="20" ht="20.7" customHeight="1">
      <c r="A20" s="14"/>
      <c r="B20" t="s" s="15">
        <v>62</v>
      </c>
      <c r="C20" s="16">
        <v>4</v>
      </c>
      <c r="D20" s="16">
        <v>12</v>
      </c>
      <c r="E20" s="16">
        <v>12</v>
      </c>
      <c r="F20" t="s" s="17">
        <v>12</v>
      </c>
      <c r="G20" s="16">
        <v>6</v>
      </c>
      <c r="H20" s="18"/>
      <c r="I20" s="12" cm="1">
        <f t="array" ref="I20">C20*D20*G20</f>
        <v>288</v>
      </c>
      <c r="J20" s="12" cm="1">
        <f t="array" ref="J20">C20*E20*G20</f>
        <v>288</v>
      </c>
      <c r="K20" s="19"/>
      <c r="L20" s="38" cm="1">
        <f t="array" ref="L20">J20+J19+J18+J16+J15+J14+J21+J22+J17</f>
        <v>1678</v>
      </c>
      <c r="M20" t="s" s="39">
        <v>66</v>
      </c>
    </row>
    <row r="21" ht="20.7" customHeight="1">
      <c r="A21" s="14"/>
      <c r="B21" t="s" s="15">
        <v>21</v>
      </c>
      <c r="C21" s="16">
        <v>8</v>
      </c>
      <c r="D21" s="16">
        <v>4</v>
      </c>
      <c r="E21" s="16">
        <v>4</v>
      </c>
      <c r="F21" t="s" s="17">
        <v>12</v>
      </c>
      <c r="G21" s="16">
        <v>5</v>
      </c>
      <c r="H21" s="18"/>
      <c r="I21" s="12" cm="1">
        <f t="array" ref="I21">C21*D21*G21</f>
        <v>160</v>
      </c>
      <c r="J21" s="12" cm="1">
        <f t="array" ref="J21">C21*E21*G21</f>
        <v>160</v>
      </c>
      <c r="K21" s="19"/>
      <c r="L21" s="37"/>
      <c r="M21" s="37"/>
    </row>
    <row r="22" ht="20.7" customHeight="1">
      <c r="A22" s="14"/>
      <c r="B22" t="s" s="15">
        <v>63</v>
      </c>
      <c r="C22" s="16">
        <v>8</v>
      </c>
      <c r="D22" s="16">
        <v>4</v>
      </c>
      <c r="E22" s="16">
        <v>4</v>
      </c>
      <c r="F22" t="s" s="17">
        <v>12</v>
      </c>
      <c r="G22" s="16">
        <v>5</v>
      </c>
      <c r="H22" s="18"/>
      <c r="I22" s="9" cm="1">
        <f t="array" ref="I22">C22*D22*G22</f>
        <v>160</v>
      </c>
      <c r="J22" s="9" cm="1">
        <f t="array" ref="J22">C22*E22*G22</f>
        <v>160</v>
      </c>
      <c r="K22" s="19"/>
      <c r="L22" s="37"/>
      <c r="M22" s="37"/>
    </row>
    <row r="23" ht="20.7" customHeight="1">
      <c r="A23" s="14"/>
      <c r="B23" s="15"/>
      <c r="C23" s="18"/>
      <c r="D23" s="18"/>
      <c r="E23" s="18"/>
      <c r="F23" s="17"/>
      <c r="G23" s="18"/>
      <c r="H23" s="18"/>
      <c r="I23" s="22" cm="1">
        <f t="array" ref="I23">C23*D23*G23</f>
        <v>0</v>
      </c>
      <c r="J23" s="22" cm="1">
        <f t="array" ref="J23">C23*E23*G23</f>
        <v>0</v>
      </c>
      <c r="K23" s="19"/>
      <c r="L23" s="37"/>
      <c r="M23" s="37"/>
    </row>
    <row r="24" ht="20.7" customHeight="1">
      <c r="A24" t="s" s="21">
        <v>32</v>
      </c>
      <c r="B24" t="s" s="15">
        <v>33</v>
      </c>
      <c r="C24" s="16">
        <v>40</v>
      </c>
      <c r="D24" s="16">
        <v>1</v>
      </c>
      <c r="E24" s="16">
        <v>1</v>
      </c>
      <c r="F24" t="s" s="17">
        <v>12</v>
      </c>
      <c r="G24" s="16">
        <v>3</v>
      </c>
      <c r="H24" s="18"/>
      <c r="I24" s="12" cm="1">
        <f t="array" ref="I24">C24*D24*G24</f>
        <v>120</v>
      </c>
      <c r="J24" s="12" cm="1">
        <f t="array" ref="J24">C24*E24*G24</f>
        <v>120</v>
      </c>
      <c r="K24" s="19"/>
      <c r="L24" s="38" cm="1">
        <f t="array" ref="L24">J24+J25+J26+J27+J28+J29+J30+J31+J32+J33+J34+J35+J36+J37+J38+J40</f>
        <v>2855</v>
      </c>
      <c r="M24" t="s" s="39">
        <v>67</v>
      </c>
    </row>
    <row r="25" ht="20.7" customHeight="1">
      <c r="A25" s="29"/>
      <c r="B25" t="s" s="30">
        <v>34</v>
      </c>
      <c r="C25" s="16">
        <v>40</v>
      </c>
      <c r="D25" s="16">
        <v>1</v>
      </c>
      <c r="E25" s="16">
        <v>1</v>
      </c>
      <c r="F25" t="s" s="17">
        <v>12</v>
      </c>
      <c r="G25" s="16">
        <v>3</v>
      </c>
      <c r="H25" s="18"/>
      <c r="I25" s="12" cm="1">
        <f t="array" ref="I25">C25*D25*G25</f>
        <v>120</v>
      </c>
      <c r="J25" s="12" cm="1">
        <f t="array" ref="J25">C25*E25*G25</f>
        <v>120</v>
      </c>
      <c r="K25" s="19"/>
      <c r="L25" s="37"/>
      <c r="M25" s="37"/>
    </row>
    <row r="26" ht="20.7" customHeight="1">
      <c r="A26" s="14"/>
      <c r="B26" t="s" s="15">
        <v>35</v>
      </c>
      <c r="C26" s="16">
        <v>40</v>
      </c>
      <c r="D26" s="16">
        <v>1</v>
      </c>
      <c r="E26" s="16">
        <v>1</v>
      </c>
      <c r="F26" t="s" s="17">
        <v>19</v>
      </c>
      <c r="G26" s="16">
        <v>3</v>
      </c>
      <c r="H26" s="18"/>
      <c r="I26" s="12" cm="1">
        <f t="array" ref="I26">C26*D26*G26</f>
        <v>120</v>
      </c>
      <c r="J26" s="12" cm="1">
        <f t="array" ref="J26">C26*E26*G26</f>
        <v>120</v>
      </c>
      <c r="K26" s="19"/>
      <c r="L26" s="37"/>
      <c r="M26" s="37"/>
    </row>
    <row r="27" ht="20.7" customHeight="1">
      <c r="A27" s="14"/>
      <c r="B27" t="s" s="15">
        <v>36</v>
      </c>
      <c r="C27" s="16">
        <v>40</v>
      </c>
      <c r="D27" s="16">
        <v>1</v>
      </c>
      <c r="E27" s="16">
        <v>1</v>
      </c>
      <c r="F27" t="s" s="17">
        <v>12</v>
      </c>
      <c r="G27" s="16">
        <v>3</v>
      </c>
      <c r="H27" s="18"/>
      <c r="I27" s="12" cm="1">
        <f t="array" ref="I27">C27*D27*G27</f>
        <v>120</v>
      </c>
      <c r="J27" s="12" cm="1">
        <f t="array" ref="J27">C27*E27*G27</f>
        <v>120</v>
      </c>
      <c r="K27" s="19"/>
      <c r="L27" s="37"/>
      <c r="M27" s="37"/>
    </row>
    <row r="28" ht="20.7" customHeight="1">
      <c r="A28" s="14"/>
      <c r="B28" t="s" s="15">
        <v>37</v>
      </c>
      <c r="C28" s="16">
        <v>40</v>
      </c>
      <c r="D28" s="16">
        <v>1</v>
      </c>
      <c r="E28" s="16">
        <v>1</v>
      </c>
      <c r="F28" t="s" s="17">
        <v>12</v>
      </c>
      <c r="G28" s="16">
        <v>7.5</v>
      </c>
      <c r="H28" s="18"/>
      <c r="I28" s="12" cm="1">
        <f t="array" ref="I28">C28*D28*G28</f>
        <v>300</v>
      </c>
      <c r="J28" s="12" cm="1">
        <f t="array" ref="J28">C28*E28*G28</f>
        <v>300</v>
      </c>
      <c r="K28" s="19"/>
      <c r="L28" s="37"/>
      <c r="M28" s="37"/>
    </row>
    <row r="29" ht="20.7" customHeight="1">
      <c r="A29" s="14"/>
      <c r="B29" t="s" s="15">
        <v>38</v>
      </c>
      <c r="C29" s="16">
        <v>40</v>
      </c>
      <c r="D29" s="16">
        <v>2</v>
      </c>
      <c r="E29" s="16">
        <v>2</v>
      </c>
      <c r="F29" t="s" s="17">
        <v>19</v>
      </c>
      <c r="G29" s="16">
        <v>3</v>
      </c>
      <c r="H29" s="18"/>
      <c r="I29" s="12" cm="1">
        <f t="array" ref="I29">C29*D29*G29</f>
        <v>240</v>
      </c>
      <c r="J29" s="12" cm="1">
        <f t="array" ref="J29">C29*E29*G29</f>
        <v>240</v>
      </c>
      <c r="K29" s="19"/>
      <c r="L29" s="37"/>
      <c r="M29" s="37"/>
    </row>
    <row r="30" ht="20.7" customHeight="1">
      <c r="A30" s="14"/>
      <c r="B30" t="s" s="15">
        <v>39</v>
      </c>
      <c r="C30" s="16">
        <v>40</v>
      </c>
      <c r="D30" s="16">
        <v>1</v>
      </c>
      <c r="E30" s="16">
        <v>1</v>
      </c>
      <c r="F30" t="s" s="17">
        <v>19</v>
      </c>
      <c r="G30" s="16">
        <v>3</v>
      </c>
      <c r="H30" s="18"/>
      <c r="I30" s="12" cm="1">
        <f t="array" ref="I30">C30*D30*G30</f>
        <v>120</v>
      </c>
      <c r="J30" s="12" cm="1">
        <f t="array" ref="J30">C30*E30*G30</f>
        <v>120</v>
      </c>
      <c r="K30" s="19"/>
      <c r="L30" s="37"/>
      <c r="M30" s="37"/>
    </row>
    <row r="31" ht="20.7" customHeight="1">
      <c r="A31" s="14"/>
      <c r="B31" t="s" s="15">
        <v>40</v>
      </c>
      <c r="C31" s="16">
        <v>40</v>
      </c>
      <c r="D31" s="16">
        <v>1</v>
      </c>
      <c r="E31" s="16">
        <v>1</v>
      </c>
      <c r="F31" t="s" s="17">
        <v>12</v>
      </c>
      <c r="G31" s="16">
        <v>3</v>
      </c>
      <c r="H31" s="18"/>
      <c r="I31" s="12" cm="1">
        <f t="array" ref="I31">C31*D31*G31</f>
        <v>120</v>
      </c>
      <c r="J31" s="12" cm="1">
        <f t="array" ref="J31">C31*E31*G31</f>
        <v>120</v>
      </c>
      <c r="K31" s="19"/>
      <c r="L31" s="37"/>
      <c r="M31" s="37"/>
    </row>
    <row r="32" ht="20.7" customHeight="1">
      <c r="A32" s="14"/>
      <c r="B32" t="s" s="15">
        <v>41</v>
      </c>
      <c r="C32" t="s" s="17">
        <v>42</v>
      </c>
      <c r="D32" s="16">
        <v>1</v>
      </c>
      <c r="E32" s="16">
        <v>1</v>
      </c>
      <c r="F32" t="s" s="17">
        <v>12</v>
      </c>
      <c r="G32" s="16">
        <v>10</v>
      </c>
      <c r="H32" s="18"/>
      <c r="I32" s="12" cm="1">
        <f t="array" ref="I32">C32*D32*G32</f>
        <v>150</v>
      </c>
      <c r="J32" s="12" cm="1">
        <f t="array" ref="J32">C32*E32*G32</f>
        <v>150</v>
      </c>
      <c r="K32" s="19"/>
      <c r="L32" s="37"/>
      <c r="M32" s="37"/>
    </row>
    <row r="33" ht="20.7" customHeight="1">
      <c r="A33" s="14"/>
      <c r="B33" t="s" s="15">
        <v>43</v>
      </c>
      <c r="C33" s="16">
        <v>15</v>
      </c>
      <c r="D33" s="16">
        <v>1</v>
      </c>
      <c r="E33" s="16">
        <v>1</v>
      </c>
      <c r="F33" t="s" s="17">
        <v>12</v>
      </c>
      <c r="G33" s="16">
        <v>8</v>
      </c>
      <c r="H33" s="18"/>
      <c r="I33" s="9" cm="1">
        <f t="array" ref="I33">C33*D33*G33</f>
        <v>120</v>
      </c>
      <c r="J33" s="9" cm="1">
        <f t="array" ref="J33">C33*E33*G33</f>
        <v>120</v>
      </c>
      <c r="K33" s="19"/>
      <c r="L33" s="37"/>
      <c r="M33" s="37"/>
    </row>
    <row r="34" ht="26.7" customHeight="1">
      <c r="A34" s="31"/>
      <c r="B34" t="s" s="15">
        <v>44</v>
      </c>
      <c r="C34" s="16">
        <v>40</v>
      </c>
      <c r="D34" s="16">
        <v>1</v>
      </c>
      <c r="E34" s="16">
        <v>1</v>
      </c>
      <c r="F34" t="s" s="17">
        <v>12</v>
      </c>
      <c r="G34" s="16">
        <v>3</v>
      </c>
      <c r="H34" s="18"/>
      <c r="I34" s="22" cm="1">
        <f t="array" ref="I34">C34*D34*G34</f>
        <v>120</v>
      </c>
      <c r="J34" s="22" cm="1">
        <f t="array" ref="J34">C34*E34*G34</f>
        <v>120</v>
      </c>
      <c r="K34" s="19"/>
      <c r="L34" s="37"/>
      <c r="M34" s="37"/>
    </row>
    <row r="35" ht="26.7" customHeight="1">
      <c r="A35" s="14"/>
      <c r="B35" t="s" s="15">
        <v>45</v>
      </c>
      <c r="C35" s="16">
        <v>40</v>
      </c>
      <c r="D35" s="16">
        <v>1</v>
      </c>
      <c r="E35" s="16">
        <v>1</v>
      </c>
      <c r="F35" t="s" s="17">
        <v>12</v>
      </c>
      <c r="G35" s="16">
        <v>3</v>
      </c>
      <c r="H35" s="18"/>
      <c r="I35" s="12" cm="1">
        <f t="array" ref="I35">C35*D35*G35</f>
        <v>120</v>
      </c>
      <c r="J35" s="12" cm="1">
        <f t="array" ref="J35">C35*E35*G35</f>
        <v>120</v>
      </c>
      <c r="K35" s="19"/>
      <c r="L35" s="37"/>
      <c r="M35" s="37"/>
    </row>
    <row r="36" ht="20.7" customHeight="1">
      <c r="A36" s="14"/>
      <c r="B36" t="s" s="15">
        <v>46</v>
      </c>
      <c r="C36" s="16">
        <v>15</v>
      </c>
      <c r="D36" s="16">
        <v>1</v>
      </c>
      <c r="E36" s="16">
        <v>1</v>
      </c>
      <c r="F36" t="s" s="17">
        <v>19</v>
      </c>
      <c r="G36" s="16">
        <v>3</v>
      </c>
      <c r="H36" s="18"/>
      <c r="I36" s="12" cm="1">
        <f t="array" ref="I36">C36*D36*G36</f>
        <v>45</v>
      </c>
      <c r="J36" s="12" cm="1">
        <f t="array" ref="J36">C36*E36*G36</f>
        <v>45</v>
      </c>
      <c r="K36" s="19"/>
      <c r="L36" s="37"/>
      <c r="M36" s="37"/>
    </row>
    <row r="37" ht="20.7" customHeight="1">
      <c r="A37" s="14"/>
      <c r="B37" t="s" s="15">
        <v>47</v>
      </c>
      <c r="C37" s="16">
        <v>40</v>
      </c>
      <c r="D37" s="16">
        <v>1</v>
      </c>
      <c r="E37" s="16">
        <v>1</v>
      </c>
      <c r="F37" t="s" s="17">
        <v>12</v>
      </c>
      <c r="G37" s="16">
        <v>3</v>
      </c>
      <c r="H37" s="18"/>
      <c r="I37" s="12" cm="1">
        <f t="array" ref="I37">C37*D37*G37</f>
        <v>120</v>
      </c>
      <c r="J37" s="12" cm="1">
        <f t="array" ref="J37">C37*E37*G37</f>
        <v>120</v>
      </c>
      <c r="K37" s="19"/>
      <c r="L37" s="37"/>
      <c r="M37" s="37"/>
    </row>
    <row r="38" ht="20.7" customHeight="1">
      <c r="A38" s="14"/>
      <c r="B38" t="s" s="15">
        <v>48</v>
      </c>
      <c r="C38" s="16">
        <v>40</v>
      </c>
      <c r="D38" s="16">
        <v>1</v>
      </c>
      <c r="E38" s="16">
        <v>1</v>
      </c>
      <c r="F38" t="s" s="17">
        <v>12</v>
      </c>
      <c r="G38" s="16">
        <v>3</v>
      </c>
      <c r="H38" s="18"/>
      <c r="I38" s="12" cm="1">
        <f t="array" ref="I38">C38*D38*G38</f>
        <v>120</v>
      </c>
      <c r="J38" s="12" cm="1">
        <f t="array" ref="J38">C38*E38*G38</f>
        <v>120</v>
      </c>
      <c r="K38" s="19"/>
      <c r="L38" s="37"/>
      <c r="M38" s="37"/>
    </row>
    <row r="39" ht="20.7" customHeight="1">
      <c r="A39" s="14"/>
      <c r="B39" t="s" s="15">
        <v>30</v>
      </c>
      <c r="C39" s="16">
        <v>40</v>
      </c>
      <c r="D39" s="16">
        <v>5</v>
      </c>
      <c r="E39" s="16">
        <v>5</v>
      </c>
      <c r="F39" t="s" s="17">
        <v>19</v>
      </c>
      <c r="G39" s="16">
        <v>2.5</v>
      </c>
      <c r="H39" s="18"/>
      <c r="I39" s="12" cm="1">
        <f t="array" ref="I39">C39*D39*G39</f>
        <v>500</v>
      </c>
      <c r="J39" s="12" cm="1">
        <f t="array" ref="J39">C39*E39*G39</f>
        <v>500</v>
      </c>
      <c r="K39" s="19"/>
      <c r="L39" s="37"/>
      <c r="M39" s="37"/>
    </row>
    <row r="40" ht="26.7" customHeight="1">
      <c r="A40" s="14"/>
      <c r="B40" t="s" s="15">
        <v>49</v>
      </c>
      <c r="C40" s="16">
        <v>1</v>
      </c>
      <c r="D40" s="16">
        <v>1</v>
      </c>
      <c r="E40" s="16">
        <v>1</v>
      </c>
      <c r="F40" t="s" s="17">
        <v>19</v>
      </c>
      <c r="G40" s="16">
        <v>800</v>
      </c>
      <c r="H40" s="18"/>
      <c r="I40" s="12" cm="1">
        <f t="array" ref="I40">C40*D40*G40</f>
        <v>800</v>
      </c>
      <c r="J40" s="12" cm="1">
        <f t="array" ref="J40">C40*E40*G40</f>
        <v>800</v>
      </c>
      <c r="K40" s="19"/>
      <c r="L40" s="37"/>
      <c r="M40" s="37"/>
    </row>
    <row r="41" ht="20.7" customHeight="1">
      <c r="A41" s="14"/>
      <c r="B41" s="15"/>
      <c r="C41" s="18"/>
      <c r="D41" s="18"/>
      <c r="E41" s="18"/>
      <c r="F41" s="17"/>
      <c r="G41" s="18"/>
      <c r="H41" s="18"/>
      <c r="I41" s="12" cm="1">
        <f t="array" ref="I41">C41*D41*G41</f>
        <v>0</v>
      </c>
      <c r="J41" s="12" cm="1">
        <f t="array" ref="J41">C41*E41*G41</f>
        <v>0</v>
      </c>
      <c r="K41" s="19"/>
      <c r="L41" s="37"/>
      <c r="M41" s="37"/>
    </row>
    <row r="42" ht="20.7" customHeight="1">
      <c r="A42" t="s" s="21">
        <v>22</v>
      </c>
      <c r="B42" t="s" s="15">
        <v>23</v>
      </c>
      <c r="C42" s="16">
        <v>1</v>
      </c>
      <c r="D42" s="16">
        <v>10</v>
      </c>
      <c r="E42" s="16">
        <v>10</v>
      </c>
      <c r="F42" t="s" s="17">
        <v>19</v>
      </c>
      <c r="G42" s="16">
        <v>150</v>
      </c>
      <c r="H42" s="18"/>
      <c r="I42" s="12" cm="1">
        <f t="array" ref="I42">C42*D42*G42</f>
        <v>1500</v>
      </c>
      <c r="J42" s="12" cm="1">
        <f t="array" ref="J42">C42*E42*G42</f>
        <v>1500</v>
      </c>
      <c r="K42" s="19"/>
      <c r="L42" s="37"/>
      <c r="M42" s="37"/>
    </row>
    <row r="43" ht="20.7" customHeight="1">
      <c r="A43" s="14"/>
      <c r="B43" t="s" s="15">
        <v>24</v>
      </c>
      <c r="C43" s="16">
        <v>1</v>
      </c>
      <c r="D43" s="16">
        <v>5</v>
      </c>
      <c r="E43" s="16">
        <v>5</v>
      </c>
      <c r="F43" t="s" s="17">
        <v>19</v>
      </c>
      <c r="G43" s="16">
        <v>20</v>
      </c>
      <c r="H43" s="18"/>
      <c r="I43" s="12" cm="1">
        <f t="array" ref="I43">C43*D43*G43</f>
        <v>100</v>
      </c>
      <c r="J43" s="12" cm="1">
        <f t="array" ref="J43">C43*E43*G43</f>
        <v>100</v>
      </c>
      <c r="K43" s="19"/>
      <c r="L43" s="37"/>
      <c r="M43" s="37"/>
    </row>
    <row r="44" ht="20.7" customHeight="1">
      <c r="A44" s="20"/>
      <c r="B44" t="s" s="15">
        <v>68</v>
      </c>
      <c r="C44" s="16">
        <v>1</v>
      </c>
      <c r="D44" s="16">
        <v>1</v>
      </c>
      <c r="E44" s="16">
        <v>1</v>
      </c>
      <c r="F44" t="s" s="17">
        <v>19</v>
      </c>
      <c r="G44" s="16">
        <v>320</v>
      </c>
      <c r="H44" s="18"/>
      <c r="I44" s="12" cm="1">
        <f t="array" ref="I44">C44*D44*G44</f>
        <v>320</v>
      </c>
      <c r="J44" s="12" cm="1">
        <f t="array" ref="J44">C44*E44*G44</f>
        <v>320</v>
      </c>
      <c r="K44" s="19"/>
      <c r="L44" s="37"/>
      <c r="M44" s="37"/>
    </row>
    <row r="45" ht="20.7" customHeight="1">
      <c r="A45" s="20"/>
      <c r="B45" t="s" s="15">
        <v>15</v>
      </c>
      <c r="C45" s="16">
        <v>1</v>
      </c>
      <c r="D45" s="16">
        <v>1</v>
      </c>
      <c r="E45" s="16">
        <v>1</v>
      </c>
      <c r="F45" t="s" s="17">
        <v>12</v>
      </c>
      <c r="G45" s="16">
        <v>15</v>
      </c>
      <c r="H45" s="18"/>
      <c r="I45" s="12" cm="1">
        <f t="array" ref="I45">C45*D45*G45</f>
        <v>15</v>
      </c>
      <c r="J45" s="12" cm="1">
        <f t="array" ref="J45">C45*E45*G45</f>
        <v>15</v>
      </c>
      <c r="K45" s="19"/>
      <c r="L45" s="37"/>
      <c r="M45" s="37"/>
    </row>
    <row r="46" ht="20.7" customHeight="1">
      <c r="A46" s="20"/>
      <c r="B46" t="s" s="15">
        <v>31</v>
      </c>
      <c r="C46" s="16">
        <v>1</v>
      </c>
      <c r="D46" s="16">
        <v>1</v>
      </c>
      <c r="E46" s="16">
        <v>1</v>
      </c>
      <c r="F46" t="s" s="17">
        <v>12</v>
      </c>
      <c r="G46" s="16">
        <v>400</v>
      </c>
      <c r="H46" s="18"/>
      <c r="I46" s="12" cm="1">
        <f t="array" ref="I46">C46*D46*G46</f>
        <v>400</v>
      </c>
      <c r="J46" s="12" cm="1">
        <f t="array" ref="J46">C46*E46*G46</f>
        <v>400</v>
      </c>
      <c r="K46" s="19"/>
      <c r="L46" s="37"/>
      <c r="M46" s="37"/>
    </row>
    <row r="47" ht="20.7" customHeight="1">
      <c r="A47" s="20"/>
      <c r="B47" s="15"/>
      <c r="C47" s="18"/>
      <c r="D47" s="18"/>
      <c r="E47" s="18"/>
      <c r="F47" s="18"/>
      <c r="G47" s="18"/>
      <c r="H47" s="18"/>
      <c r="I47" s="12" cm="1">
        <f t="array" ref="I47">C47*D47*G47</f>
        <v>0</v>
      </c>
      <c r="J47" s="12" cm="1">
        <f t="array" ref="J47">C47*E47*G47</f>
        <v>0</v>
      </c>
      <c r="K47" s="19"/>
      <c r="L47" s="37"/>
      <c r="M47" s="37"/>
    </row>
    <row r="48" ht="20.7" customHeight="1">
      <c r="A48" t="s" s="21">
        <v>52</v>
      </c>
      <c r="B48" t="s" s="15">
        <v>53</v>
      </c>
      <c r="C48" s="16">
        <v>1</v>
      </c>
      <c r="D48" s="16">
        <v>1</v>
      </c>
      <c r="E48" s="16">
        <v>1</v>
      </c>
      <c r="F48" t="s" s="17">
        <v>54</v>
      </c>
      <c r="G48" s="16">
        <v>4000</v>
      </c>
      <c r="H48" s="18"/>
      <c r="I48" s="12" cm="1">
        <f t="array" ref="I48">C48*D48*G48</f>
        <v>4000</v>
      </c>
      <c r="J48" s="12" cm="1">
        <f t="array" ref="J48">C48*E48*G48</f>
        <v>4000</v>
      </c>
      <c r="K48" s="19"/>
      <c r="L48" s="38" cm="1">
        <f t="array" ref="L48">J48+J40</f>
        <v>4800</v>
      </c>
      <c r="M48" t="s" s="39">
        <v>69</v>
      </c>
    </row>
    <row r="49" ht="20.7" customHeight="1">
      <c r="A49" s="20"/>
      <c r="B49" s="15"/>
      <c r="C49" s="18"/>
      <c r="D49" s="18"/>
      <c r="E49" s="18"/>
      <c r="F49" s="18"/>
      <c r="G49" s="16">
        <v>8</v>
      </c>
      <c r="H49" s="18"/>
      <c r="I49" s="9" cm="1">
        <f t="array" ref="I49">C49*D49*G49</f>
        <v>0</v>
      </c>
      <c r="J49" s="9" cm="1">
        <f t="array" ref="J49">C49*E49*G49</f>
        <v>0</v>
      </c>
      <c r="K49" s="19"/>
      <c r="L49" s="40"/>
      <c r="M49" s="40"/>
    </row>
    <row r="50" ht="20.7" customHeight="1">
      <c r="A50" t="s" s="21">
        <v>25</v>
      </c>
      <c r="B50" s="24"/>
      <c r="C50" s="18"/>
      <c r="D50" s="18"/>
      <c r="E50" s="18"/>
      <c r="F50" s="18"/>
      <c r="G50" s="18"/>
      <c r="H50" s="18"/>
      <c r="I50" s="16" cm="1">
        <f t="array" ref="I50">SUM(I3:I49)</f>
        <v>16538</v>
      </c>
      <c r="J50" s="16" cm="1">
        <f t="array" ref="J50">SUM(J3:J49)</f>
        <v>18038</v>
      </c>
      <c r="K50" s="41"/>
      <c r="L50" s="18"/>
      <c r="M50" s="18"/>
    </row>
    <row r="51" ht="20.7" customHeight="1">
      <c r="A51" t="s" s="21">
        <v>26</v>
      </c>
      <c r="B51" s="24"/>
      <c r="C51" s="18"/>
      <c r="D51" s="18"/>
      <c r="E51" s="18"/>
      <c r="F51" s="18"/>
      <c r="G51" s="18"/>
      <c r="H51" s="18"/>
      <c r="I51" s="16">
        <v>20500</v>
      </c>
      <c r="J51" s="16">
        <v>20500</v>
      </c>
      <c r="K51" s="19"/>
      <c r="L51" s="42"/>
      <c r="M51" s="42"/>
    </row>
    <row r="52" ht="20.7" customHeight="1">
      <c r="A52" t="s" s="21">
        <v>27</v>
      </c>
      <c r="B52" s="24"/>
      <c r="C52" s="18"/>
      <c r="D52" s="18"/>
      <c r="E52" s="18"/>
      <c r="F52" s="18"/>
      <c r="G52" s="18"/>
      <c r="H52" s="18"/>
      <c r="I52" s="26" cm="1">
        <f t="array" ref="I52">I50/I51</f>
        <v>0.806731707317073</v>
      </c>
      <c r="J52" s="26" cm="1">
        <f t="array" ref="J52">J50/J51</f>
        <v>0.87990243902439</v>
      </c>
      <c r="K52" s="19"/>
      <c r="L52" s="37"/>
      <c r="M52" s="37"/>
    </row>
    <row r="53" ht="38.7" customHeight="1">
      <c r="A53" t="s" s="21">
        <v>70</v>
      </c>
      <c r="B53" t="s" s="15">
        <v>71</v>
      </c>
      <c r="C53" s="16">
        <v>2</v>
      </c>
      <c r="D53" t="s" s="17">
        <v>72</v>
      </c>
      <c r="E53" t="s" s="17">
        <v>72</v>
      </c>
      <c r="F53" t="s" s="17">
        <v>12</v>
      </c>
      <c r="G53" t="s" s="17">
        <v>73</v>
      </c>
      <c r="H53" s="16">
        <v>24</v>
      </c>
      <c r="I53" s="16" cm="1">
        <f t="array" ref="I53">SUM(I3:I49)</f>
        <v>16538</v>
      </c>
      <c r="J53" s="16" cm="1">
        <f t="array" ref="J53">SUM(J3:J49)</f>
        <v>18038</v>
      </c>
      <c r="K53" s="19"/>
      <c r="L53" s="37"/>
      <c r="M53" s="37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