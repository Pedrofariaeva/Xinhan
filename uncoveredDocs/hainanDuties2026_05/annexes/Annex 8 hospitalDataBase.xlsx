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edro/Downloads/hainanDuties2026_05/"/>
    </mc:Choice>
  </mc:AlternateContent>
  <xr:revisionPtr revIDLastSave="0" documentId="13_ncr:1_{42A0CC4C-759C-F240-B6AE-3BB6B6AF6E80}" xr6:coauthVersionLast="47" xr6:coauthVersionMax="47" xr10:uidLastSave="{00000000-0000-0000-0000-000000000000}"/>
  <bookViews>
    <workbookView xWindow="0" yWindow="660" windowWidth="15960" windowHeight="18080" firstSheet="2" activeTab="2" xr2:uid="{00000000-000D-0000-FFFF-FFFF00000000}"/>
  </bookViews>
  <sheets>
    <sheet name="Compartiment DB 1 - First Floor" sheetId="3" r:id="rId1"/>
    <sheet name="Compartiment DB 2 - 2nd Floo" sheetId="4" r:id="rId2"/>
    <sheet name="Compartiment DB 3 - 3rd Floor" sheetId="5" r:id="rId3"/>
    <sheet name="compartiments DB - Departments " sheetId="6" r:id="rId4"/>
    <sheet name="checklist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6" l="1" a="1"/>
  <c r="C48" i="6" s="1"/>
  <c r="C47" i="6" a="1"/>
  <c r="C47" i="6" s="1"/>
  <c r="C46" i="6" a="1"/>
  <c r="C46" i="6" s="1"/>
  <c r="C45" i="6" a="1"/>
  <c r="C45" i="6" s="1"/>
  <c r="C44" i="6" a="1"/>
  <c r="C44" i="6" s="1"/>
  <c r="C43" i="6" a="1"/>
  <c r="C43" i="6" s="1"/>
  <c r="C42" i="6" a="1"/>
  <c r="C42" i="6" s="1"/>
  <c r="C41" i="6" a="1"/>
  <c r="C41" i="6" s="1"/>
  <c r="C40" i="6" a="1"/>
  <c r="C40" i="6" s="1"/>
  <c r="C39" i="6" a="1"/>
  <c r="C39" i="6" s="1"/>
  <c r="C38" i="6" a="1"/>
  <c r="C38" i="6" s="1"/>
  <c r="C37" i="6" a="1"/>
  <c r="C37" i="6" s="1"/>
  <c r="C36" i="6" a="1"/>
  <c r="C36" i="6" s="1"/>
  <c r="C35" i="6" a="1"/>
  <c r="C35" i="6" s="1"/>
  <c r="C34" i="6" a="1"/>
  <c r="C34" i="6" s="1"/>
  <c r="C33" i="6" a="1"/>
  <c r="C33" i="6" s="1"/>
  <c r="C32" i="6" a="1"/>
  <c r="C32" i="6" s="1"/>
  <c r="C31" i="6" a="1"/>
  <c r="C31" i="6" s="1"/>
  <c r="C30" i="6" a="1"/>
  <c r="C30" i="6" s="1"/>
  <c r="C29" i="6" a="1"/>
  <c r="C29" i="6" s="1"/>
  <c r="C28" i="6" a="1"/>
  <c r="C28" i="6" s="1"/>
  <c r="C27" i="6" a="1"/>
  <c r="C27" i="6" s="1"/>
  <c r="C26" i="6" a="1"/>
  <c r="C26" i="6" s="1"/>
  <c r="C25" i="6" a="1"/>
  <c r="C25" i="6" s="1"/>
  <c r="C24" i="6" a="1"/>
  <c r="C24" i="6" s="1"/>
  <c r="C23" i="6" a="1"/>
  <c r="C23" i="6" s="1"/>
  <c r="C22" i="6" a="1"/>
  <c r="C22" i="6" s="1"/>
  <c r="C21" i="6" a="1"/>
  <c r="C21" i="6" s="1"/>
  <c r="C20" i="6" a="1"/>
  <c r="C20" i="6" s="1"/>
  <c r="C19" i="6" a="1"/>
  <c r="C19" i="6" s="1"/>
  <c r="C18" i="6" a="1"/>
  <c r="C18" i="6" s="1"/>
  <c r="C17" i="6" a="1"/>
  <c r="C17" i="6" s="1"/>
  <c r="C16" i="6" a="1"/>
  <c r="C16" i="6" s="1"/>
  <c r="C15" i="6" a="1"/>
  <c r="C15" i="6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D9" i="6" a="1"/>
  <c r="D9" i="6" s="1"/>
  <c r="C9" i="6" s="1" a="1"/>
  <c r="C9" i="6" s="1"/>
  <c r="C8" i="6" a="1"/>
  <c r="C8" i="6" s="1"/>
  <c r="C7" i="6" a="1"/>
  <c r="C7" i="6" s="1"/>
  <c r="C6" i="6" a="1"/>
  <c r="C6" i="6" s="1"/>
  <c r="C5" i="6" a="1"/>
  <c r="C5" i="6" s="1"/>
  <c r="C4" i="6" a="1"/>
  <c r="C4" i="6" s="1"/>
  <c r="C3" i="6" a="1"/>
  <c r="C3" i="6" s="1"/>
  <c r="M19" i="5" a="1"/>
  <c r="M19" i="5" s="1"/>
  <c r="K19" i="5" a="1"/>
  <c r="K19" i="5" s="1"/>
  <c r="M18" i="5" a="1"/>
  <c r="M18" i="5" s="1"/>
  <c r="K18" i="5" a="1"/>
  <c r="K18" i="5" s="1"/>
  <c r="M17" i="5" a="1"/>
  <c r="M17" i="5" s="1"/>
  <c r="K17" i="5" a="1"/>
  <c r="K17" i="5" s="1"/>
  <c r="M16" i="5" a="1"/>
  <c r="M16" i="5" s="1"/>
  <c r="K16" i="5" a="1"/>
  <c r="K16" i="5" s="1"/>
  <c r="M15" i="5" a="1"/>
  <c r="M15" i="5" s="1"/>
  <c r="K15" i="5" a="1"/>
  <c r="K15" i="5" s="1"/>
  <c r="M14" i="5" a="1"/>
  <c r="M14" i="5" s="1"/>
  <c r="K14" i="5" a="1"/>
  <c r="K14" i="5" s="1"/>
  <c r="M13" i="5" a="1"/>
  <c r="M13" i="5" s="1"/>
  <c r="K13" i="5" a="1"/>
  <c r="K13" i="5" s="1"/>
  <c r="M12" i="5" a="1"/>
  <c r="M12" i="5" s="1"/>
  <c r="K12" i="5" a="1"/>
  <c r="K12" i="5" s="1"/>
  <c r="M11" i="5" a="1"/>
  <c r="M11" i="5" s="1"/>
  <c r="K11" i="5" a="1"/>
  <c r="K11" i="5" s="1"/>
  <c r="M10" i="5" a="1"/>
  <c r="M10" i="5" s="1"/>
  <c r="K10" i="5" a="1"/>
  <c r="K10" i="5" s="1"/>
  <c r="M9" i="5" a="1"/>
  <c r="M9" i="5" s="1"/>
  <c r="K9" i="5" a="1"/>
  <c r="K9" i="5" s="1"/>
  <c r="M8" i="5" a="1"/>
  <c r="M8" i="5" s="1"/>
  <c r="K8" i="5" a="1"/>
  <c r="K8" i="5" s="1"/>
  <c r="M7" i="5" a="1"/>
  <c r="M7" i="5" s="1"/>
  <c r="K7" i="5" a="1"/>
  <c r="K7" i="5" s="1"/>
  <c r="M6" i="5" a="1"/>
  <c r="M6" i="5" s="1"/>
  <c r="K6" i="5" a="1"/>
  <c r="K6" i="5" s="1"/>
  <c r="M5" i="5" a="1"/>
  <c r="M5" i="5" s="1"/>
  <c r="K5" i="5" a="1"/>
  <c r="K5" i="5" s="1"/>
  <c r="M4" i="5" a="1"/>
  <c r="M4" i="5" s="1"/>
  <c r="K4" i="5" a="1"/>
  <c r="K4" i="5" s="1"/>
  <c r="M3" i="5" a="1"/>
  <c r="M3" i="5" s="1"/>
  <c r="K3" i="5" a="1"/>
  <c r="K3" i="5" s="1"/>
  <c r="M28" i="4" a="1"/>
  <c r="M28" i="4" s="1"/>
  <c r="K28" i="4" a="1"/>
  <c r="K28" i="4" s="1"/>
  <c r="M27" i="4" a="1"/>
  <c r="M27" i="4" s="1"/>
  <c r="K27" i="4" a="1"/>
  <c r="K27" i="4" s="1"/>
  <c r="M26" i="4" a="1"/>
  <c r="M26" i="4" s="1"/>
  <c r="K26" i="4" a="1"/>
  <c r="K26" i="4" s="1"/>
  <c r="M25" i="4" a="1"/>
  <c r="M25" i="4" s="1"/>
  <c r="K25" i="4" a="1"/>
  <c r="K25" i="4" s="1"/>
  <c r="M24" i="4" a="1"/>
  <c r="M24" i="4" s="1"/>
  <c r="K24" i="4" a="1"/>
  <c r="K24" i="4" s="1"/>
  <c r="M23" i="4" a="1"/>
  <c r="M23" i="4" s="1"/>
  <c r="K23" i="4" a="1"/>
  <c r="K23" i="4" s="1"/>
  <c r="M22" i="4" a="1"/>
  <c r="M22" i="4" s="1"/>
  <c r="K22" i="4" a="1"/>
  <c r="K22" i="4" s="1"/>
  <c r="M21" i="4" a="1"/>
  <c r="M21" i="4" s="1"/>
  <c r="K21" i="4" a="1"/>
  <c r="K21" i="4" s="1"/>
  <c r="M20" i="4" a="1"/>
  <c r="M20" i="4" s="1"/>
  <c r="K20" i="4" a="1"/>
  <c r="K20" i="4" s="1"/>
  <c r="M19" i="4" a="1"/>
  <c r="M19" i="4" s="1"/>
  <c r="K19" i="4" a="1"/>
  <c r="K19" i="4" s="1"/>
  <c r="M18" i="4" a="1"/>
  <c r="M18" i="4" s="1"/>
  <c r="K18" i="4" a="1"/>
  <c r="K18" i="4" s="1"/>
  <c r="M17" i="4" a="1"/>
  <c r="M17" i="4" s="1"/>
  <c r="K17" i="4" a="1"/>
  <c r="K17" i="4" s="1"/>
  <c r="M16" i="4" a="1"/>
  <c r="M16" i="4" s="1"/>
  <c r="K16" i="4" a="1"/>
  <c r="K16" i="4" s="1"/>
  <c r="M15" i="4" a="1"/>
  <c r="M15" i="4" s="1"/>
  <c r="K15" i="4" a="1"/>
  <c r="K15" i="4" s="1"/>
  <c r="M14" i="4" a="1"/>
  <c r="M14" i="4" s="1"/>
  <c r="K14" i="4" a="1"/>
  <c r="K14" i="4" s="1"/>
  <c r="M13" i="4" a="1"/>
  <c r="M13" i="4" s="1"/>
  <c r="K13" i="4" a="1"/>
  <c r="K13" i="4" s="1"/>
  <c r="M12" i="4" a="1"/>
  <c r="M12" i="4" s="1"/>
  <c r="K12" i="4" a="1"/>
  <c r="K12" i="4" s="1"/>
  <c r="M11" i="4" a="1"/>
  <c r="M11" i="4" s="1"/>
  <c r="K11" i="4" a="1"/>
  <c r="K11" i="4" s="1"/>
  <c r="M10" i="4" a="1"/>
  <c r="M10" i="4" s="1"/>
  <c r="K10" i="4" a="1"/>
  <c r="K10" i="4" s="1"/>
  <c r="M9" i="4" a="1"/>
  <c r="M9" i="4" s="1"/>
  <c r="K9" i="4" a="1"/>
  <c r="K9" i="4" s="1"/>
  <c r="M8" i="4" a="1"/>
  <c r="M8" i="4" s="1"/>
  <c r="K8" i="4" a="1"/>
  <c r="K8" i="4" s="1"/>
  <c r="M7" i="4" a="1"/>
  <c r="M7" i="4" s="1"/>
  <c r="K7" i="4" a="1"/>
  <c r="K7" i="4" s="1"/>
  <c r="M6" i="4" a="1"/>
  <c r="M6" i="4" s="1"/>
  <c r="K6" i="4" a="1"/>
  <c r="K6" i="4" s="1"/>
  <c r="M5" i="4" a="1"/>
  <c r="M5" i="4" s="1"/>
  <c r="K5" i="4" a="1"/>
  <c r="K5" i="4" s="1"/>
  <c r="M4" i="4" a="1"/>
  <c r="M4" i="4" s="1"/>
  <c r="K4" i="4" a="1"/>
  <c r="K4" i="4" s="1"/>
  <c r="M3" i="4" a="1"/>
  <c r="M3" i="4" s="1"/>
  <c r="K3" i="4" a="1"/>
  <c r="K3" i="4" s="1"/>
  <c r="M44" i="3" a="1"/>
  <c r="M44" i="3" s="1"/>
  <c r="K44" i="3" a="1"/>
  <c r="K44" i="3" s="1"/>
  <c r="M43" i="3" a="1"/>
  <c r="M43" i="3" s="1"/>
  <c r="K43" i="3" a="1"/>
  <c r="K43" i="3" s="1"/>
  <c r="M42" i="3" a="1"/>
  <c r="M42" i="3" s="1"/>
  <c r="K42" i="3" a="1"/>
  <c r="K42" i="3" s="1"/>
  <c r="M41" i="3" a="1"/>
  <c r="M41" i="3" s="1"/>
  <c r="K41" i="3" a="1"/>
  <c r="K41" i="3" s="1"/>
  <c r="M40" i="3" a="1"/>
  <c r="M40" i="3" s="1"/>
  <c r="K40" i="3" a="1"/>
  <c r="K40" i="3" s="1"/>
  <c r="M39" i="3" a="1"/>
  <c r="M39" i="3" s="1"/>
  <c r="K39" i="3" a="1"/>
  <c r="K39" i="3" s="1"/>
  <c r="M38" i="3" a="1"/>
  <c r="M38" i="3" s="1"/>
  <c r="K38" i="3" a="1"/>
  <c r="K38" i="3" s="1"/>
  <c r="M37" i="3" a="1"/>
  <c r="M37" i="3" s="1"/>
  <c r="K37" i="3" a="1"/>
  <c r="K37" i="3" s="1"/>
  <c r="M36" i="3" a="1"/>
  <c r="M36" i="3" s="1"/>
  <c r="K36" i="3" a="1"/>
  <c r="K36" i="3" s="1"/>
  <c r="M35" i="3" a="1"/>
  <c r="M35" i="3" s="1"/>
  <c r="K35" i="3" a="1"/>
  <c r="K35" i="3" s="1"/>
  <c r="M34" i="3" a="1"/>
  <c r="M34" i="3" s="1"/>
  <c r="K34" i="3" a="1"/>
  <c r="K34" i="3" s="1"/>
  <c r="M33" i="3" a="1"/>
  <c r="M33" i="3" s="1"/>
  <c r="K33" i="3" a="1"/>
  <c r="K33" i="3" s="1"/>
  <c r="M32" i="3" a="1"/>
  <c r="M32" i="3" s="1"/>
  <c r="K32" i="3" a="1"/>
  <c r="K32" i="3" s="1"/>
  <c r="M31" i="3" a="1"/>
  <c r="M31" i="3" s="1"/>
  <c r="K31" i="3" a="1"/>
  <c r="K31" i="3" s="1"/>
  <c r="M30" i="3" a="1"/>
  <c r="M30" i="3" s="1"/>
  <c r="K30" i="3" a="1"/>
  <c r="K30" i="3" s="1"/>
  <c r="M29" i="3" a="1"/>
  <c r="M29" i="3" s="1"/>
  <c r="K29" i="3" a="1"/>
  <c r="K29" i="3" s="1"/>
  <c r="M28" i="3" a="1"/>
  <c r="M28" i="3" s="1"/>
  <c r="K28" i="3" a="1"/>
  <c r="K28" i="3" s="1"/>
  <c r="M27" i="3" a="1"/>
  <c r="M27" i="3" s="1"/>
  <c r="K27" i="3" a="1"/>
  <c r="K27" i="3" s="1"/>
  <c r="M26" i="3" a="1"/>
  <c r="M26" i="3" s="1"/>
  <c r="K26" i="3" a="1"/>
  <c r="K26" i="3" s="1"/>
  <c r="M25" i="3" a="1"/>
  <c r="M25" i="3" s="1"/>
  <c r="K25" i="3" a="1"/>
  <c r="K25" i="3" s="1"/>
  <c r="M24" i="3" a="1"/>
  <c r="M24" i="3" s="1"/>
  <c r="K24" i="3" a="1"/>
  <c r="K24" i="3" s="1"/>
  <c r="M23" i="3" a="1"/>
  <c r="M23" i="3" s="1"/>
  <c r="K23" i="3" a="1"/>
  <c r="K23" i="3" s="1"/>
  <c r="M22" i="3" a="1"/>
  <c r="M22" i="3" s="1"/>
  <c r="K22" i="3" a="1"/>
  <c r="K22" i="3" s="1"/>
  <c r="M21" i="3" a="1"/>
  <c r="M21" i="3" s="1"/>
  <c r="K21" i="3" a="1"/>
  <c r="K21" i="3" s="1"/>
  <c r="M20" i="3" a="1"/>
  <c r="M20" i="3" s="1"/>
  <c r="K20" i="3" a="1"/>
  <c r="K20" i="3" s="1"/>
  <c r="M19" i="3" a="1"/>
  <c r="M19" i="3" s="1"/>
  <c r="K19" i="3" a="1"/>
  <c r="K19" i="3" s="1"/>
  <c r="M18" i="3" a="1"/>
  <c r="M18" i="3" s="1"/>
  <c r="K18" i="3" a="1"/>
  <c r="K18" i="3" s="1"/>
  <c r="M17" i="3" a="1"/>
  <c r="M17" i="3" s="1"/>
  <c r="K17" i="3" a="1"/>
  <c r="K17" i="3" s="1"/>
  <c r="M16" i="3" a="1"/>
  <c r="M16" i="3" s="1"/>
  <c r="K16" i="3" a="1"/>
  <c r="K16" i="3" s="1"/>
  <c r="M15" i="3" a="1"/>
  <c r="M15" i="3" s="1"/>
  <c r="K15" i="3" a="1"/>
  <c r="K15" i="3" s="1"/>
  <c r="M14" i="3" a="1"/>
  <c r="M14" i="3" s="1"/>
  <c r="K14" i="3" a="1"/>
  <c r="K14" i="3" s="1"/>
  <c r="M13" i="3" a="1"/>
  <c r="M13" i="3" s="1"/>
  <c r="K13" i="3" a="1"/>
  <c r="K13" i="3" s="1"/>
  <c r="M12" i="3" a="1"/>
  <c r="M12" i="3" s="1"/>
  <c r="K12" i="3" a="1"/>
  <c r="K12" i="3" s="1"/>
  <c r="M11" i="3" a="1"/>
  <c r="M11" i="3" s="1"/>
  <c r="K11" i="3" a="1"/>
  <c r="K11" i="3" s="1"/>
  <c r="M10" i="3" a="1"/>
  <c r="M10" i="3" s="1"/>
  <c r="K10" i="3" a="1"/>
  <c r="K10" i="3" s="1"/>
  <c r="M9" i="3" a="1"/>
  <c r="M9" i="3" s="1"/>
  <c r="K9" i="3" a="1"/>
  <c r="K9" i="3" s="1"/>
  <c r="M8" i="3" a="1"/>
  <c r="M8" i="3" s="1"/>
  <c r="K8" i="3" a="1"/>
  <c r="K8" i="3" s="1"/>
  <c r="M7" i="3" a="1"/>
  <c r="M7" i="3" s="1"/>
  <c r="K7" i="3" a="1"/>
  <c r="K7" i="3" s="1"/>
  <c r="M6" i="3" a="1"/>
  <c r="M6" i="3" s="1"/>
  <c r="K6" i="3" a="1"/>
  <c r="K6" i="3" s="1"/>
  <c r="M5" i="3" a="1"/>
  <c r="M5" i="3" s="1"/>
  <c r="K5" i="3" a="1"/>
  <c r="K5" i="3" s="1"/>
  <c r="M4" i="3" a="1"/>
  <c r="M4" i="3" s="1"/>
  <c r="K4" i="3" a="1"/>
  <c r="K4" i="3" s="1"/>
  <c r="M3" i="3" a="1"/>
  <c r="M3" i="3" s="1"/>
  <c r="K3" i="3" a="1"/>
  <c r="K3" i="3" s="1"/>
  <c r="K45" i="3" s="1" a="1"/>
  <c r="K45" i="3" s="1"/>
  <c r="K47" i="3" s="1" a="1"/>
  <c r="K47" i="3" s="1"/>
  <c r="M29" i="4" l="1" a="1"/>
  <c r="M29" i="4" s="1"/>
  <c r="M45" i="3" a="1"/>
  <c r="M45" i="3" s="1"/>
  <c r="M20" i="5" a="1"/>
  <c r="M20" i="5" s="1"/>
  <c r="K20" i="5" a="1"/>
  <c r="K20" i="5" s="1"/>
  <c r="K22" i="5" s="1" a="1"/>
  <c r="K22" i="5" s="1"/>
  <c r="K29" i="4" a="1"/>
  <c r="K29" i="4" s="1"/>
  <c r="K31" i="4" s="1" a="1"/>
  <c r="K3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<sst xmlns="http://schemas.openxmlformats.org/spreadsheetml/2006/main" count="338" uniqueCount="142">
  <si>
    <t>Zones</t>
  </si>
  <si>
    <t>Facility type</t>
  </si>
  <si>
    <t>nº units</t>
  </si>
  <si>
    <t>size by unit</t>
  </si>
  <si>
    <t>Length cm</t>
  </si>
  <si>
    <t>Depth cm</t>
  </si>
  <si>
    <t>Link with</t>
  </si>
  <si>
    <t>notes</t>
  </si>
  <si>
    <t>Clients</t>
  </si>
  <si>
    <t>Lobby</t>
  </si>
  <si>
    <t>Reception customer</t>
  </si>
  <si>
    <t>Reception staff</t>
  </si>
  <si>
    <t>Pharmacy 1</t>
  </si>
  <si>
    <t>cat waiting room</t>
  </si>
  <si>
    <t>dog waiting room</t>
  </si>
  <si>
    <t>exotic waiting room</t>
  </si>
  <si>
    <t>wild waiting room</t>
  </si>
  <si>
    <t>Cats consult room</t>
  </si>
  <si>
    <t>dogs consult room</t>
  </si>
  <si>
    <t>Exotic consult room</t>
  </si>
  <si>
    <t>Wild consult room</t>
  </si>
  <si>
    <t>Rehab Sport</t>
  </si>
  <si>
    <t>Rehab Laser/hydro therapy</t>
  </si>
  <si>
    <t>Rehab SPA</t>
  </si>
  <si>
    <t>Medical</t>
  </si>
  <si>
    <t>Cats Treatment Room</t>
  </si>
  <si>
    <t>Dogs Treatment Room</t>
  </si>
  <si>
    <t>emergency treatment room</t>
  </si>
  <si>
    <t>Exotic Treatment Room</t>
  </si>
  <si>
    <t>Wild Treatment Room</t>
  </si>
  <si>
    <t>Exotic Surgery Room</t>
  </si>
  <si>
    <t>Wild Surgery Room</t>
  </si>
  <si>
    <t>Exotic Impatient Room</t>
  </si>
  <si>
    <t>Wild  Impatient Room</t>
  </si>
  <si>
    <t>Staff Lobby</t>
  </si>
  <si>
    <t>Investigation Room</t>
  </si>
  <si>
    <t>Lab</t>
  </si>
  <si>
    <t xml:space="preserve">Internal </t>
  </si>
  <si>
    <t>Preparation Room</t>
  </si>
  <si>
    <t>Diagnostic Imaging MRI</t>
  </si>
  <si>
    <t>Diagnostic Imaging CT</t>
  </si>
  <si>
    <t>Diagnostic Imaging UltraSound</t>
  </si>
  <si>
    <t>Diagnostic Imaging Linear Acc.</t>
  </si>
  <si>
    <t>Diagnostic Imaging Xray</t>
  </si>
  <si>
    <t>Diagnostic Imaging View Room</t>
  </si>
  <si>
    <t>Locker room</t>
  </si>
  <si>
    <t>support warehouse</t>
  </si>
  <si>
    <t>Disposal with freezer</t>
  </si>
  <si>
    <t>Client/impatient Dept</t>
  </si>
  <si>
    <t>Visit room</t>
  </si>
  <si>
    <t>Large Dog Ward</t>
  </si>
  <si>
    <t>Medium Dog Ward</t>
  </si>
  <si>
    <t>Small Dog Ward</t>
  </si>
  <si>
    <t xml:space="preserve"> Ward</t>
  </si>
  <si>
    <t>Cat Ward</t>
  </si>
  <si>
    <t>Central Treatment Unit</t>
  </si>
  <si>
    <t>Pharmacy 2</t>
  </si>
  <si>
    <t>ICU</t>
  </si>
  <si>
    <t>Meal Animal supply</t>
  </si>
  <si>
    <t>isolation unit</t>
  </si>
  <si>
    <t>SurgicalGeneral</t>
  </si>
  <si>
    <t>Anesthesia</t>
  </si>
  <si>
    <t>(Recovering inside anestesia)</t>
  </si>
  <si>
    <t>Hemo</t>
  </si>
  <si>
    <t>Cleaning instruments</t>
  </si>
  <si>
    <t>Scrubs area</t>
  </si>
  <si>
    <t xml:space="preserve">surgicalClean </t>
  </si>
  <si>
    <t>Clean Surgical</t>
  </si>
  <si>
    <t>Locker/Shower room</t>
  </si>
  <si>
    <t>teaching surgical theatre</t>
  </si>
  <si>
    <t>surgicalDirty</t>
  </si>
  <si>
    <t>Contaminated surgical</t>
  </si>
  <si>
    <t>Offices</t>
  </si>
  <si>
    <t>Director Office</t>
  </si>
  <si>
    <t>Manager Office</t>
  </si>
  <si>
    <t>Vet Office</t>
  </si>
  <si>
    <t>Head Nurse Office</t>
  </si>
  <si>
    <t>Admin Office</t>
  </si>
  <si>
    <t>Management Office</t>
  </si>
  <si>
    <t>Internal</t>
  </si>
  <si>
    <t>Meeting Room</t>
  </si>
  <si>
    <t>Seminar Room</t>
  </si>
  <si>
    <t>Auditorium report room</t>
  </si>
  <si>
    <t>Commercial Pathology LAB</t>
  </si>
  <si>
    <t>Cafeteria</t>
  </si>
  <si>
    <t>Leisure</t>
  </si>
  <si>
    <t>Support</t>
  </si>
  <si>
    <t>Bathrooms</t>
  </si>
  <si>
    <t>Elevators</t>
  </si>
  <si>
    <t>Maintenance Room</t>
  </si>
  <si>
    <t>TOTAL</t>
  </si>
  <si>
    <t>First Floor</t>
  </si>
  <si>
    <t>Requirement</t>
  </si>
  <si>
    <t>Regulations references</t>
  </si>
  <si>
    <t>Compliance</t>
  </si>
  <si>
    <t>shape</t>
  </si>
  <si>
    <t>size by length cm</t>
  </si>
  <si>
    <t>Size by area m2</t>
  </si>
  <si>
    <t>total</t>
  </si>
  <si>
    <t>rectangle</t>
  </si>
  <si>
    <t>square</t>
  </si>
  <si>
    <t>300 x 400</t>
  </si>
  <si>
    <t>400 x 1200</t>
  </si>
  <si>
    <t xml:space="preserve">400 x 300 </t>
  </si>
  <si>
    <t>400 x 750</t>
  </si>
  <si>
    <t>Toilets</t>
  </si>
  <si>
    <t>predicted avail. A</t>
  </si>
  <si>
    <t>Deficit</t>
  </si>
  <si>
    <t>e.g.</t>
  </si>
  <si>
    <t>surgery</t>
  </si>
  <si>
    <t>2 cat consult room</t>
  </si>
  <si>
    <t>300 x 800</t>
  </si>
  <si>
    <t>Second Floor</t>
  </si>
  <si>
    <t>Square</t>
  </si>
  <si>
    <t>Surgical</t>
  </si>
  <si>
    <t>10 x 10</t>
  </si>
  <si>
    <t>Third Floor</t>
  </si>
  <si>
    <t>nºunits</t>
  </si>
  <si>
    <t>Departments by functional areas and ratios</t>
  </si>
  <si>
    <t>Departments</t>
  </si>
  <si>
    <t>Type of rooms</t>
  </si>
  <si>
    <t>Ratio</t>
  </si>
  <si>
    <t>Client</t>
  </si>
  <si>
    <t>Patient</t>
  </si>
  <si>
    <t>x</t>
  </si>
  <si>
    <t>Client Service</t>
  </si>
  <si>
    <t>740m2</t>
  </si>
  <si>
    <t>Reception</t>
  </si>
  <si>
    <t>toilets</t>
  </si>
  <si>
    <t>Waiting Room cats</t>
  </si>
  <si>
    <t>Waiting Room Dogs</t>
  </si>
  <si>
    <t>access corridors</t>
  </si>
  <si>
    <t>Emergency</t>
  </si>
  <si>
    <t>Treatment/ICU</t>
  </si>
  <si>
    <t>Surgery</t>
  </si>
  <si>
    <t>Rehab</t>
  </si>
  <si>
    <t>Office</t>
  </si>
  <si>
    <t>Imaging</t>
  </si>
  <si>
    <t>TCM</t>
  </si>
  <si>
    <t>Disposal</t>
  </si>
  <si>
    <t>meetings</t>
  </si>
  <si>
    <t>Presentation/Auditorium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</si>
</sst>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%&quot; &quot;;\(0.0%\)"/>
  </numFmts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0"/>
      </right>
      <top/>
      <bottom style="thin">
        <color indexed="13"/>
      </bottom>
      <diagonal/>
    </border>
    <border>
      <left/>
      <right/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>
      <alignment vertical="top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0" fillId="2" borderId="5" xfId="0" applyFill="1" applyBorder="1">
      <alignment vertical="top" wrapText="1"/>
    </xf>
    <xf numFmtId="49" fontId="2" fillId="4" borderId="6" xfId="0" applyNumberFormat="1" applyFont="1" applyFill="1" applyBorder="1" applyAlignment="1">
      <alignment horizontal="center" vertical="center" wrapText="1"/>
    </xf>
    <xf numFmtId="49" fontId="0" fillId="2" borderId="7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49" fontId="0" fillId="2" borderId="10" xfId="0" applyNumberForma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49" fontId="0" fillId="2" borderId="11" xfId="0" applyNumberFormat="1" applyFill="1" applyBorder="1" applyAlignment="1">
      <alignment horizontal="center" vertical="center" wrapText="1"/>
    </xf>
    <xf numFmtId="49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>
      <alignment vertical="top" wrapText="1"/>
    </xf>
    <xf numFmtId="0" fontId="0" fillId="2" borderId="4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49" fontId="0" fillId="2" borderId="14" xfId="0" applyNumberFormat="1" applyFill="1" applyBorder="1" applyAlignment="1">
      <alignment horizontal="center" vertical="center" wrapText="1"/>
    </xf>
    <xf numFmtId="0" fontId="0" fillId="2" borderId="15" xfId="0" applyFill="1" applyBorder="1">
      <alignment vertical="top" wrapText="1"/>
    </xf>
    <xf numFmtId="49" fontId="2" fillId="4" borderId="13" xfId="0" applyNumberFormat="1" applyFont="1" applyFill="1" applyBorder="1" applyAlignment="1">
      <alignment horizontal="center" vertical="center" wrapText="1"/>
    </xf>
    <xf numFmtId="9" fontId="0" fillId="2" borderId="11" xfId="0" applyNumberFormat="1" applyFill="1" applyBorder="1" applyAlignment="1">
      <alignment horizontal="center" vertical="center" wrapText="1"/>
    </xf>
    <xf numFmtId="0" fontId="0" fillId="2" borderId="16" xfId="0" applyFill="1" applyBorder="1">
      <alignment vertical="top" wrapText="1"/>
    </xf>
    <xf numFmtId="0" fontId="0" fillId="2" borderId="17" xfId="0" applyFill="1" applyBorder="1">
      <alignment vertical="top" wrapText="1"/>
    </xf>
    <xf numFmtId="0" fontId="0" fillId="2" borderId="18" xfId="0" applyFill="1" applyBorder="1">
      <alignment vertical="top" wrapText="1"/>
    </xf>
    <xf numFmtId="49" fontId="0" fillId="2" borderId="19" xfId="0" applyNumberFormat="1" applyFill="1" applyBorder="1" applyAlignment="1">
      <alignment horizontal="center" vertical="center" wrapText="1"/>
    </xf>
    <xf numFmtId="0" fontId="0" fillId="2" borderId="8" xfId="0" applyNumberFormat="1" applyFill="1" applyBorder="1" applyAlignment="1">
      <alignment horizontal="center" vertical="center" wrapText="1"/>
    </xf>
    <xf numFmtId="0" fontId="0" fillId="2" borderId="17" xfId="0" applyNumberFormat="1" applyFill="1" applyBorder="1">
      <alignment vertical="top" wrapText="1"/>
    </xf>
    <xf numFmtId="0" fontId="0" fillId="2" borderId="18" xfId="0" applyNumberFormat="1" applyFill="1" applyBorder="1">
      <alignment vertical="top" wrapText="1"/>
    </xf>
    <xf numFmtId="49" fontId="0" fillId="2" borderId="20" xfId="0" applyNumberFormat="1" applyFill="1" applyBorder="1" applyAlignment="1">
      <alignment horizontal="center" vertical="center" wrapText="1"/>
    </xf>
    <xf numFmtId="0" fontId="0" fillId="2" borderId="11" xfId="0" applyNumberFormat="1" applyFill="1" applyBorder="1" applyAlignment="1">
      <alignment horizontal="center" vertical="center" wrapText="1"/>
    </xf>
    <xf numFmtId="0" fontId="0" fillId="2" borderId="4" xfId="0" applyNumberFormat="1" applyFill="1" applyBorder="1" applyAlignment="1">
      <alignment horizontal="center" vertical="center" wrapText="1"/>
    </xf>
    <xf numFmtId="0" fontId="0" fillId="2" borderId="12" xfId="0" applyNumberFormat="1" applyFill="1" applyBorder="1" applyAlignment="1">
      <alignment horizontal="center" vertical="center" wrapText="1"/>
    </xf>
    <xf numFmtId="0" fontId="0" fillId="2" borderId="21" xfId="0" applyNumberFormat="1" applyFill="1" applyBorder="1">
      <alignment vertical="top" wrapText="1"/>
    </xf>
    <xf numFmtId="0" fontId="0" fillId="2" borderId="2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22" xfId="0" applyFill="1" applyBorder="1">
      <alignment vertical="top" wrapText="1"/>
    </xf>
    <xf numFmtId="0" fontId="0" fillId="2" borderId="23" xfId="0" applyFill="1" applyBorder="1">
      <alignment vertical="top" wrapText="1"/>
    </xf>
    <xf numFmtId="164" fontId="0" fillId="2" borderId="11" xfId="0" applyNumberFormat="1" applyFill="1" applyBorder="1" applyAlignment="1">
      <alignment horizontal="center" vertical="center" wrapText="1"/>
    </xf>
    <xf numFmtId="0" fontId="0" fillId="2" borderId="24" xfId="0" applyFill="1" applyBorder="1">
      <alignment vertical="top" wrapText="1"/>
    </xf>
    <xf numFmtId="0" fontId="0" fillId="2" borderId="25" xfId="0" applyFill="1" applyBorder="1">
      <alignment vertical="top" wrapText="1"/>
    </xf>
    <xf numFmtId="0" fontId="1" fillId="2" borderId="2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49" fontId="2" fillId="3" borderId="11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>
      <alignment vertical="top" wrapText="1"/>
    </xf>
    <xf numFmtId="49" fontId="2" fillId="4" borderId="6" xfId="0" applyNumberFormat="1" applyFont="1" applyFill="1" applyBorder="1">
      <alignment vertical="top" wrapText="1"/>
    </xf>
    <xf numFmtId="49" fontId="0" fillId="2" borderId="7" xfId="0" applyNumberFormat="1" applyFill="1" applyBorder="1">
      <alignment vertical="top" wrapText="1"/>
    </xf>
    <xf numFmtId="165" fontId="0" fillId="2" borderId="8" xfId="0" applyNumberFormat="1" applyFill="1" applyBorder="1">
      <alignment vertical="top" wrapText="1"/>
    </xf>
    <xf numFmtId="0" fontId="0" fillId="2" borderId="8" xfId="0" applyNumberFormat="1" applyFill="1" applyBorder="1">
      <alignment vertical="top" wrapText="1"/>
    </xf>
    <xf numFmtId="0" fontId="0" fillId="2" borderId="8" xfId="0" applyFill="1" applyBorder="1">
      <alignment vertical="top" wrapText="1"/>
    </xf>
    <xf numFmtId="49" fontId="2" fillId="4" borderId="9" xfId="0" applyNumberFormat="1" applyFont="1" applyFill="1" applyBorder="1">
      <alignment vertical="top" wrapText="1"/>
    </xf>
    <xf numFmtId="49" fontId="0" fillId="2" borderId="10" xfId="0" applyNumberFormat="1" applyFill="1" applyBorder="1">
      <alignment vertical="top" wrapText="1"/>
    </xf>
    <xf numFmtId="165" fontId="0" fillId="2" borderId="11" xfId="0" applyNumberFormat="1" applyFill="1" applyBorder="1">
      <alignment vertical="top" wrapText="1"/>
    </xf>
    <xf numFmtId="0" fontId="0" fillId="2" borderId="11" xfId="0" applyFill="1" applyBorder="1">
      <alignment vertical="top" wrapText="1"/>
    </xf>
    <xf numFmtId="0" fontId="0" fillId="2" borderId="11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>
      <alignment vertical="top" wrapText="1"/>
    </xf>
    <xf numFmtId="49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>
      <alignment vertical="top" wrapText="1"/>
    </xf>
    <xf numFmtId="0" fontId="0" fillId="2" borderId="9" xfId="0" applyFill="1" applyBorder="1">
      <alignment vertical="top" wrapText="1"/>
    </xf>
    <xf numFmtId="0" fontId="2" fillId="4" borderId="13" xfId="0" applyFont="1" applyFill="1" applyBorder="1">
      <alignment vertical="top" wrapText="1"/>
    </xf>
    <xf numFmtId="49" fontId="2" fillId="4" borderId="6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BDC0BF"/>
      <rgbColor rgb="FFA5A5A5"/>
      <rgbColor rgb="FF3F3F3F"/>
      <rgbColor rgb="FFDBDBD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8"/>
  <sheetViews>
    <sheetView showGridLines="0" workbookViewId="0">
      <selection sqref="A1:K1"/>
    </sheetView>
  </sheetViews>
  <sheetFormatPr baseColWidth="10" defaultColWidth="16.33203125" defaultRowHeight="20" customHeight="1" x14ac:dyDescent="0.15"/>
  <cols>
    <col min="1" max="1" width="15.33203125" style="1" customWidth="1"/>
    <col min="2" max="2" width="25.1640625" style="1" customWidth="1"/>
    <col min="3" max="4" width="12.1640625" style="1" customWidth="1"/>
    <col min="5" max="5" width="11" style="1" customWidth="1"/>
    <col min="6" max="6" width="5.33203125" style="1" customWidth="1"/>
    <col min="7" max="7" width="7" style="1" customWidth="1"/>
    <col min="8" max="8" width="8" style="1" customWidth="1"/>
    <col min="9" max="9" width="11" style="1" customWidth="1"/>
    <col min="10" max="10" width="9.5" style="1" customWidth="1"/>
    <col min="11" max="11" width="6" style="1" customWidth="1"/>
    <col min="12" max="13" width="3.5" style="1" customWidth="1"/>
    <col min="14" max="14" width="16.33203125" style="1" customWidth="1"/>
    <col min="15" max="16384" width="16.33203125" style="1"/>
  </cols>
  <sheetData>
    <row r="1" spans="1:13" ht="27.75" customHeight="1" x14ac:dyDescent="0.15">
      <c r="A1" s="63" t="s">
        <v>91</v>
      </c>
      <c r="B1" s="56"/>
      <c r="C1" s="57"/>
      <c r="D1" s="57"/>
      <c r="E1" s="57"/>
      <c r="F1" s="56"/>
      <c r="G1" s="56"/>
      <c r="H1" s="56"/>
      <c r="I1" s="56"/>
      <c r="J1" s="56"/>
      <c r="K1" s="56"/>
      <c r="L1" s="20"/>
      <c r="M1" s="3"/>
    </row>
    <row r="2" spans="1:13" ht="26.75" customHeight="1" x14ac:dyDescent="0.15">
      <c r="A2" s="4" t="s">
        <v>0</v>
      </c>
      <c r="B2" s="4" t="s">
        <v>1</v>
      </c>
      <c r="C2" s="4" t="s">
        <v>92</v>
      </c>
      <c r="D2" s="4" t="s">
        <v>93</v>
      </c>
      <c r="E2" s="4" t="s">
        <v>94</v>
      </c>
      <c r="F2" s="4" t="s">
        <v>2</v>
      </c>
      <c r="G2" s="4" t="s">
        <v>3</v>
      </c>
      <c r="H2" s="4" t="s">
        <v>95</v>
      </c>
      <c r="I2" s="4" t="s">
        <v>96</v>
      </c>
      <c r="J2" s="4" t="s">
        <v>97</v>
      </c>
      <c r="K2" s="4" t="s">
        <v>98</v>
      </c>
      <c r="L2" s="21"/>
      <c r="M2" s="22"/>
    </row>
    <row r="3" spans="1:13" ht="20.25" customHeight="1" x14ac:dyDescent="0.15">
      <c r="A3" s="62" t="s">
        <v>8</v>
      </c>
      <c r="B3" s="23" t="s">
        <v>9</v>
      </c>
      <c r="C3" s="23"/>
      <c r="D3" s="23"/>
      <c r="E3" s="7"/>
      <c r="F3" s="24">
        <v>1</v>
      </c>
      <c r="G3" s="8"/>
      <c r="H3" s="8"/>
      <c r="I3" s="8"/>
      <c r="J3" s="8"/>
      <c r="K3" s="24" cm="1">
        <f t="array" ref="K3">J3*F3</f>
        <v>0</v>
      </c>
      <c r="L3" s="25">
        <v>12</v>
      </c>
      <c r="M3" s="26" cm="1">
        <f t="array" ref="M3">L3*G3*F3</f>
        <v>0</v>
      </c>
    </row>
    <row r="4" spans="1:13" ht="20" customHeight="1" x14ac:dyDescent="0.15">
      <c r="A4" s="60"/>
      <c r="B4" s="27" t="s">
        <v>10</v>
      </c>
      <c r="C4" s="27"/>
      <c r="D4" s="27"/>
      <c r="E4" s="9"/>
      <c r="F4" s="28">
        <v>1</v>
      </c>
      <c r="G4" s="28">
        <v>2</v>
      </c>
      <c r="H4" s="10"/>
      <c r="I4" s="10"/>
      <c r="J4" s="10"/>
      <c r="K4" s="28" cm="1">
        <f t="array" ref="K4">J4*F4</f>
        <v>0</v>
      </c>
      <c r="L4" s="25">
        <v>12</v>
      </c>
      <c r="M4" s="26" cm="1">
        <f t="array" ref="M4">L4*G4*F4</f>
        <v>24</v>
      </c>
    </row>
    <row r="5" spans="1:13" ht="20" customHeight="1" x14ac:dyDescent="0.15">
      <c r="A5" s="60"/>
      <c r="B5" s="27" t="s">
        <v>11</v>
      </c>
      <c r="C5" s="27"/>
      <c r="D5" s="27"/>
      <c r="E5" s="9"/>
      <c r="F5" s="28">
        <v>1</v>
      </c>
      <c r="G5" s="28">
        <v>2</v>
      </c>
      <c r="H5" s="10"/>
      <c r="I5" s="10"/>
      <c r="J5" s="10"/>
      <c r="K5" s="28" cm="1">
        <f t="array" ref="K5">J5*F5</f>
        <v>0</v>
      </c>
      <c r="L5" s="25">
        <v>12</v>
      </c>
      <c r="M5" s="26" cm="1">
        <f t="array" ref="M5">L5*G5*F5</f>
        <v>24</v>
      </c>
    </row>
    <row r="6" spans="1:13" ht="20" customHeight="1" x14ac:dyDescent="0.15">
      <c r="A6" s="60"/>
      <c r="B6" s="27" t="s">
        <v>12</v>
      </c>
      <c r="C6" s="27"/>
      <c r="D6" s="27"/>
      <c r="E6" s="9"/>
      <c r="F6" s="28">
        <v>1</v>
      </c>
      <c r="G6" s="28">
        <v>2</v>
      </c>
      <c r="H6" s="11" t="s">
        <v>99</v>
      </c>
      <c r="I6" s="10"/>
      <c r="J6" s="10"/>
      <c r="K6" s="28" cm="1">
        <f t="array" ref="K6">J6*F6</f>
        <v>0</v>
      </c>
      <c r="L6" s="25">
        <v>12</v>
      </c>
      <c r="M6" s="26" cm="1">
        <f t="array" ref="M6">L6*G6*F6</f>
        <v>24</v>
      </c>
    </row>
    <row r="7" spans="1:13" ht="20" customHeight="1" x14ac:dyDescent="0.15">
      <c r="A7" s="60"/>
      <c r="B7" s="27" t="s">
        <v>87</v>
      </c>
      <c r="C7" s="27"/>
      <c r="D7" s="27"/>
      <c r="E7" s="9"/>
      <c r="F7" s="28">
        <v>4</v>
      </c>
      <c r="G7" s="28">
        <v>1</v>
      </c>
      <c r="H7" s="10"/>
      <c r="I7" s="10"/>
      <c r="J7" s="10"/>
      <c r="K7" s="28" cm="1">
        <f t="array" ref="K7">J7*F7</f>
        <v>0</v>
      </c>
      <c r="L7" s="25">
        <v>12</v>
      </c>
      <c r="M7" s="26" cm="1">
        <f t="array" ref="M7">L7*G7*F7</f>
        <v>48</v>
      </c>
    </row>
    <row r="8" spans="1:13" ht="20" customHeight="1" x14ac:dyDescent="0.15">
      <c r="A8" s="60"/>
      <c r="B8" s="27" t="s">
        <v>88</v>
      </c>
      <c r="C8" s="27"/>
      <c r="D8" s="27"/>
      <c r="E8" s="9"/>
      <c r="F8" s="28">
        <v>4</v>
      </c>
      <c r="G8" s="28">
        <v>0.5</v>
      </c>
      <c r="H8" s="10"/>
      <c r="I8" s="10"/>
      <c r="J8" s="10"/>
      <c r="K8" s="28" cm="1">
        <f t="array" ref="K8">J8*F8</f>
        <v>0</v>
      </c>
      <c r="L8" s="25">
        <v>12</v>
      </c>
      <c r="M8" s="26" cm="1">
        <f t="array" ref="M8">L8*G8*F8</f>
        <v>24</v>
      </c>
    </row>
    <row r="9" spans="1:13" ht="20" customHeight="1" x14ac:dyDescent="0.15">
      <c r="A9" s="60"/>
      <c r="B9" s="27" t="s">
        <v>13</v>
      </c>
      <c r="C9" s="27"/>
      <c r="D9" s="27"/>
      <c r="E9" s="9"/>
      <c r="F9" s="28">
        <v>1</v>
      </c>
      <c r="G9" s="10"/>
      <c r="H9" s="10"/>
      <c r="I9" s="10"/>
      <c r="J9" s="10"/>
      <c r="K9" s="28" cm="1">
        <f t="array" ref="K9">J9*F9</f>
        <v>0</v>
      </c>
      <c r="L9" s="25">
        <v>12</v>
      </c>
      <c r="M9" s="26" cm="1">
        <f t="array" ref="M9">L9*G9*F9</f>
        <v>0</v>
      </c>
    </row>
    <row r="10" spans="1:13" ht="20" customHeight="1" x14ac:dyDescent="0.15">
      <c r="A10" s="60"/>
      <c r="B10" s="27" t="s">
        <v>14</v>
      </c>
      <c r="C10" s="27"/>
      <c r="D10" s="27"/>
      <c r="E10" s="9"/>
      <c r="F10" s="28">
        <v>1</v>
      </c>
      <c r="G10" s="10"/>
      <c r="H10" s="10"/>
      <c r="I10" s="10"/>
      <c r="J10" s="10"/>
      <c r="K10" s="28" cm="1">
        <f t="array" ref="K10">J10*F10</f>
        <v>0</v>
      </c>
      <c r="L10" s="25">
        <v>12</v>
      </c>
      <c r="M10" s="26" cm="1">
        <f t="array" ref="M10">L10*G10*F10</f>
        <v>0</v>
      </c>
    </row>
    <row r="11" spans="1:13" ht="20" customHeight="1" x14ac:dyDescent="0.15">
      <c r="A11" s="60"/>
      <c r="B11" s="27" t="s">
        <v>15</v>
      </c>
      <c r="C11" s="27"/>
      <c r="D11" s="27"/>
      <c r="E11" s="9"/>
      <c r="F11" s="28">
        <v>1</v>
      </c>
      <c r="G11" s="10"/>
      <c r="H11" s="10"/>
      <c r="I11" s="10"/>
      <c r="J11" s="10"/>
      <c r="K11" s="28" cm="1">
        <f t="array" ref="K11">J11*F11</f>
        <v>0</v>
      </c>
      <c r="L11" s="25">
        <v>12</v>
      </c>
      <c r="M11" s="26" cm="1">
        <f t="array" ref="M11">L11*G11*F11</f>
        <v>0</v>
      </c>
    </row>
    <row r="12" spans="1:13" ht="20" customHeight="1" x14ac:dyDescent="0.15">
      <c r="A12" s="60"/>
      <c r="B12" s="27" t="s">
        <v>16</v>
      </c>
      <c r="C12" s="27"/>
      <c r="D12" s="27"/>
      <c r="E12" s="9"/>
      <c r="F12" s="28">
        <v>1</v>
      </c>
      <c r="G12" s="10"/>
      <c r="H12" s="10"/>
      <c r="I12" s="10"/>
      <c r="J12" s="10"/>
      <c r="K12" s="28" cm="1">
        <f t="array" ref="K12">J12*F12</f>
        <v>0</v>
      </c>
      <c r="L12" s="25">
        <v>12</v>
      </c>
      <c r="M12" s="26" cm="1">
        <f t="array" ref="M12">L12*G12*F12</f>
        <v>0</v>
      </c>
    </row>
    <row r="13" spans="1:13" ht="20" customHeight="1" x14ac:dyDescent="0.15">
      <c r="A13" s="60"/>
      <c r="B13" s="27" t="s">
        <v>17</v>
      </c>
      <c r="C13" s="27"/>
      <c r="D13" s="27"/>
      <c r="E13" s="9"/>
      <c r="F13" s="28">
        <v>8</v>
      </c>
      <c r="G13" s="28">
        <v>1</v>
      </c>
      <c r="H13" s="11" t="s">
        <v>100</v>
      </c>
      <c r="I13" s="11" t="s">
        <v>101</v>
      </c>
      <c r="J13" s="28">
        <v>12</v>
      </c>
      <c r="K13" s="28" cm="1">
        <f t="array" ref="K13">J13*F13</f>
        <v>96</v>
      </c>
      <c r="L13" s="25">
        <v>12</v>
      </c>
      <c r="M13" s="26" cm="1">
        <f t="array" ref="M13">L13*G13*F13</f>
        <v>96</v>
      </c>
    </row>
    <row r="14" spans="1:13" ht="20" customHeight="1" x14ac:dyDescent="0.15">
      <c r="A14" s="60"/>
      <c r="B14" s="27" t="s">
        <v>18</v>
      </c>
      <c r="C14" s="27"/>
      <c r="D14" s="27"/>
      <c r="E14" s="9"/>
      <c r="F14" s="28">
        <v>8</v>
      </c>
      <c r="G14" s="28">
        <v>1</v>
      </c>
      <c r="H14" s="11" t="s">
        <v>100</v>
      </c>
      <c r="I14" s="11" t="s">
        <v>101</v>
      </c>
      <c r="J14" s="28">
        <v>12</v>
      </c>
      <c r="K14" s="28" cm="1">
        <f t="array" ref="K14">J14*F14</f>
        <v>96</v>
      </c>
      <c r="L14" s="25">
        <v>12</v>
      </c>
      <c r="M14" s="26" cm="1">
        <f t="array" ref="M14">L14*G14*F14</f>
        <v>96</v>
      </c>
    </row>
    <row r="15" spans="1:13" ht="20" customHeight="1" x14ac:dyDescent="0.15">
      <c r="A15" s="60"/>
      <c r="B15" s="27" t="s">
        <v>19</v>
      </c>
      <c r="C15" s="27"/>
      <c r="D15" s="27"/>
      <c r="E15" s="9"/>
      <c r="F15" s="28">
        <v>2</v>
      </c>
      <c r="G15" s="28">
        <v>1</v>
      </c>
      <c r="H15" s="11" t="s">
        <v>100</v>
      </c>
      <c r="I15" s="11" t="s">
        <v>101</v>
      </c>
      <c r="J15" s="28">
        <v>12</v>
      </c>
      <c r="K15" s="28" cm="1">
        <f t="array" ref="K15">J15*F15</f>
        <v>24</v>
      </c>
      <c r="L15" s="25">
        <v>12</v>
      </c>
      <c r="M15" s="26" cm="1">
        <f t="array" ref="M15">L15*G15*F15</f>
        <v>24</v>
      </c>
    </row>
    <row r="16" spans="1:13" ht="20" customHeight="1" x14ac:dyDescent="0.15">
      <c r="A16" s="60"/>
      <c r="B16" s="27" t="s">
        <v>20</v>
      </c>
      <c r="C16" s="27"/>
      <c r="D16" s="27"/>
      <c r="E16" s="9"/>
      <c r="F16" s="28">
        <v>2</v>
      </c>
      <c r="G16" s="28">
        <v>1</v>
      </c>
      <c r="H16" s="11" t="s">
        <v>100</v>
      </c>
      <c r="I16" s="11" t="s">
        <v>101</v>
      </c>
      <c r="J16" s="28">
        <v>12</v>
      </c>
      <c r="K16" s="28" cm="1">
        <f t="array" ref="K16">J16*F16</f>
        <v>24</v>
      </c>
      <c r="L16" s="25">
        <v>12</v>
      </c>
      <c r="M16" s="26" cm="1">
        <f t="array" ref="M16">L16*G16*F16</f>
        <v>24</v>
      </c>
    </row>
    <row r="17" spans="1:13" ht="20" customHeight="1" x14ac:dyDescent="0.15">
      <c r="A17" s="60"/>
      <c r="B17" s="27" t="s">
        <v>21</v>
      </c>
      <c r="C17" s="27"/>
      <c r="D17" s="27"/>
      <c r="E17" s="9"/>
      <c r="F17" s="28">
        <v>1</v>
      </c>
      <c r="G17" s="28">
        <v>4</v>
      </c>
      <c r="H17" s="11" t="s">
        <v>99</v>
      </c>
      <c r="I17" s="11" t="s">
        <v>102</v>
      </c>
      <c r="J17" s="28">
        <v>48</v>
      </c>
      <c r="K17" s="28" cm="1">
        <f t="array" ref="K17">J17*F17</f>
        <v>48</v>
      </c>
      <c r="L17" s="25">
        <v>12</v>
      </c>
      <c r="M17" s="26" cm="1">
        <f t="array" ref="M17">L17*G17*F17</f>
        <v>48</v>
      </c>
    </row>
    <row r="18" spans="1:13" ht="20" customHeight="1" x14ac:dyDescent="0.15">
      <c r="A18" s="60"/>
      <c r="B18" s="27" t="s">
        <v>22</v>
      </c>
      <c r="C18" s="27"/>
      <c r="D18" s="27"/>
      <c r="E18" s="9"/>
      <c r="F18" s="28">
        <v>2</v>
      </c>
      <c r="G18" s="28">
        <v>1</v>
      </c>
      <c r="H18" s="11" t="s">
        <v>100</v>
      </c>
      <c r="I18" s="11" t="s">
        <v>103</v>
      </c>
      <c r="J18" s="28">
        <v>12</v>
      </c>
      <c r="K18" s="28" cm="1">
        <f t="array" ref="K18">J18*F18</f>
        <v>24</v>
      </c>
      <c r="L18" s="25">
        <v>12</v>
      </c>
      <c r="M18" s="26" cm="1">
        <f t="array" ref="M18">L18*G18*F18</f>
        <v>24</v>
      </c>
    </row>
    <row r="19" spans="1:13" ht="20" customHeight="1" x14ac:dyDescent="0.15">
      <c r="A19" s="60"/>
      <c r="B19" s="27" t="s">
        <v>23</v>
      </c>
      <c r="C19" s="27"/>
      <c r="D19" s="27"/>
      <c r="E19" s="9"/>
      <c r="F19" s="28">
        <v>1</v>
      </c>
      <c r="G19" s="28">
        <v>3</v>
      </c>
      <c r="H19" s="11" t="s">
        <v>99</v>
      </c>
      <c r="I19" s="11" t="s">
        <v>104</v>
      </c>
      <c r="J19" s="10"/>
      <c r="K19" s="28" cm="1">
        <f t="array" ref="K19">J19*F19</f>
        <v>0</v>
      </c>
      <c r="L19" s="25">
        <v>12</v>
      </c>
      <c r="M19" s="26" cm="1">
        <f t="array" ref="M19">L19*G19*F19</f>
        <v>36</v>
      </c>
    </row>
    <row r="20" spans="1:13" ht="20" customHeight="1" x14ac:dyDescent="0.15">
      <c r="A20" s="58" t="s">
        <v>24</v>
      </c>
      <c r="B20" s="27" t="s">
        <v>25</v>
      </c>
      <c r="C20" s="27"/>
      <c r="D20" s="27"/>
      <c r="E20" s="9"/>
      <c r="F20" s="28">
        <v>1</v>
      </c>
      <c r="G20" s="28">
        <v>6</v>
      </c>
      <c r="H20" s="11" t="s">
        <v>99</v>
      </c>
      <c r="I20" s="10"/>
      <c r="J20" s="10"/>
      <c r="K20" s="28" cm="1">
        <f t="array" ref="K20">J20*F20</f>
        <v>0</v>
      </c>
      <c r="L20" s="25">
        <v>12</v>
      </c>
      <c r="M20" s="26" cm="1">
        <f t="array" ref="M20">L20*G20*F20</f>
        <v>72</v>
      </c>
    </row>
    <row r="21" spans="1:13" ht="20" customHeight="1" x14ac:dyDescent="0.15">
      <c r="A21" s="59"/>
      <c r="B21" s="27" t="s">
        <v>26</v>
      </c>
      <c r="C21" s="27"/>
      <c r="D21" s="27"/>
      <c r="E21" s="9"/>
      <c r="F21" s="28">
        <v>1</v>
      </c>
      <c r="G21" s="28">
        <v>8</v>
      </c>
      <c r="H21" s="11" t="s">
        <v>99</v>
      </c>
      <c r="I21" s="10"/>
      <c r="J21" s="10"/>
      <c r="K21" s="29" cm="1">
        <f t="array" ref="K21">J21*F21</f>
        <v>0</v>
      </c>
      <c r="L21" s="25">
        <v>12</v>
      </c>
      <c r="M21" s="26" cm="1">
        <f t="array" ref="M21">L21*G21*F21</f>
        <v>96</v>
      </c>
    </row>
    <row r="22" spans="1:13" ht="20" customHeight="1" x14ac:dyDescent="0.15">
      <c r="A22" s="59"/>
      <c r="B22" s="27" t="s">
        <v>27</v>
      </c>
      <c r="C22" s="27"/>
      <c r="D22" s="27"/>
      <c r="E22" s="9"/>
      <c r="F22" s="28">
        <v>1</v>
      </c>
      <c r="G22" s="28">
        <v>3</v>
      </c>
      <c r="H22" s="11" t="s">
        <v>100</v>
      </c>
      <c r="I22" s="10"/>
      <c r="J22" s="10"/>
      <c r="K22" s="24" cm="1">
        <f t="array" ref="K22">J22*F22</f>
        <v>0</v>
      </c>
      <c r="L22" s="25">
        <v>12</v>
      </c>
      <c r="M22" s="26" cm="1">
        <f t="array" ref="M22">L22*G22*F22</f>
        <v>36</v>
      </c>
    </row>
    <row r="23" spans="1:13" ht="20" customHeight="1" x14ac:dyDescent="0.15">
      <c r="A23" s="59"/>
      <c r="B23" s="27" t="s">
        <v>28</v>
      </c>
      <c r="C23" s="27"/>
      <c r="D23" s="27"/>
      <c r="E23" s="9"/>
      <c r="F23" s="28">
        <v>1</v>
      </c>
      <c r="G23" s="28">
        <v>3</v>
      </c>
      <c r="H23" s="11" t="s">
        <v>99</v>
      </c>
      <c r="I23" s="10"/>
      <c r="J23" s="10"/>
      <c r="K23" s="28" cm="1">
        <f t="array" ref="K23">J23*F23</f>
        <v>0</v>
      </c>
      <c r="L23" s="25">
        <v>12</v>
      </c>
      <c r="M23" s="26" cm="1">
        <f t="array" ref="M23">L23*G23*F23</f>
        <v>36</v>
      </c>
    </row>
    <row r="24" spans="1:13" ht="20" customHeight="1" x14ac:dyDescent="0.15">
      <c r="A24" s="59"/>
      <c r="B24" s="27" t="s">
        <v>29</v>
      </c>
      <c r="C24" s="27"/>
      <c r="D24" s="27"/>
      <c r="E24" s="9"/>
      <c r="F24" s="28">
        <v>1</v>
      </c>
      <c r="G24" s="28">
        <v>3</v>
      </c>
      <c r="H24" s="11" t="s">
        <v>99</v>
      </c>
      <c r="I24" s="10"/>
      <c r="J24" s="10"/>
      <c r="K24" s="29" cm="1">
        <f t="array" ref="K24">J24*F24</f>
        <v>0</v>
      </c>
      <c r="L24" s="25">
        <v>12</v>
      </c>
      <c r="M24" s="26" cm="1">
        <f t="array" ref="M24">L24*G24*F24</f>
        <v>36</v>
      </c>
    </row>
    <row r="25" spans="1:13" ht="20" customHeight="1" x14ac:dyDescent="0.15">
      <c r="A25" s="59"/>
      <c r="B25" s="27" t="s">
        <v>30</v>
      </c>
      <c r="C25" s="27"/>
      <c r="D25" s="27"/>
      <c r="E25" s="9"/>
      <c r="F25" s="28">
        <v>1</v>
      </c>
      <c r="G25" s="28">
        <v>2</v>
      </c>
      <c r="H25" s="11" t="s">
        <v>100</v>
      </c>
      <c r="I25" s="10"/>
      <c r="J25" s="10"/>
      <c r="K25" s="30" cm="1">
        <f t="array" ref="K25">J25*F25</f>
        <v>0</v>
      </c>
      <c r="L25" s="25">
        <v>12</v>
      </c>
      <c r="M25" s="26" cm="1">
        <f t="array" ref="M25">L25*G25*F25</f>
        <v>24</v>
      </c>
    </row>
    <row r="26" spans="1:13" ht="20" customHeight="1" x14ac:dyDescent="0.15">
      <c r="A26" s="59"/>
      <c r="B26" s="27" t="s">
        <v>31</v>
      </c>
      <c r="C26" s="27"/>
      <c r="D26" s="27"/>
      <c r="E26" s="9"/>
      <c r="F26" s="28">
        <v>1</v>
      </c>
      <c r="G26" s="28">
        <v>2</v>
      </c>
      <c r="H26" s="11" t="s">
        <v>100</v>
      </c>
      <c r="I26" s="10"/>
      <c r="J26" s="10"/>
      <c r="K26" s="30" cm="1">
        <f t="array" ref="K26">J26*F26</f>
        <v>0</v>
      </c>
      <c r="L26" s="25">
        <v>12</v>
      </c>
      <c r="M26" s="26" cm="1">
        <f t="array" ref="M26">L26*G26*F26</f>
        <v>24</v>
      </c>
    </row>
    <row r="27" spans="1:13" ht="20" customHeight="1" x14ac:dyDescent="0.15">
      <c r="A27" s="59"/>
      <c r="B27" s="27" t="s">
        <v>32</v>
      </c>
      <c r="C27" s="27"/>
      <c r="D27" s="27"/>
      <c r="E27" s="9"/>
      <c r="F27" s="28">
        <v>2</v>
      </c>
      <c r="G27" s="28">
        <v>2</v>
      </c>
      <c r="H27" s="11" t="s">
        <v>99</v>
      </c>
      <c r="I27" s="10"/>
      <c r="J27" s="10"/>
      <c r="K27" s="30" cm="1">
        <f t="array" ref="K27">J27*F27</f>
        <v>0</v>
      </c>
      <c r="L27" s="25">
        <v>12</v>
      </c>
      <c r="M27" s="26" cm="1">
        <f t="array" ref="M27">L27*G27*F27</f>
        <v>48</v>
      </c>
    </row>
    <row r="28" spans="1:13" ht="20" customHeight="1" x14ac:dyDescent="0.15">
      <c r="A28" s="59"/>
      <c r="B28" s="27" t="s">
        <v>33</v>
      </c>
      <c r="C28" s="27"/>
      <c r="D28" s="27"/>
      <c r="E28" s="9"/>
      <c r="F28" s="28">
        <v>2</v>
      </c>
      <c r="G28" s="28">
        <v>2</v>
      </c>
      <c r="H28" s="11" t="s">
        <v>99</v>
      </c>
      <c r="I28" s="10"/>
      <c r="J28" s="10"/>
      <c r="K28" s="24" cm="1">
        <f t="array" ref="K28">J28*F28</f>
        <v>0</v>
      </c>
      <c r="L28" s="25">
        <v>12</v>
      </c>
      <c r="M28" s="26" cm="1">
        <f t="array" ref="M28">L28*G28*F28</f>
        <v>48</v>
      </c>
    </row>
    <row r="29" spans="1:13" ht="20" customHeight="1" x14ac:dyDescent="0.15">
      <c r="A29" s="59"/>
      <c r="B29" s="27" t="s">
        <v>34</v>
      </c>
      <c r="C29" s="27"/>
      <c r="D29" s="27"/>
      <c r="E29" s="9"/>
      <c r="F29" s="28">
        <v>1</v>
      </c>
      <c r="G29" s="10"/>
      <c r="H29" s="10"/>
      <c r="I29" s="10"/>
      <c r="J29" s="10"/>
      <c r="K29" s="28" cm="1">
        <f t="array" ref="K29">J29*F29</f>
        <v>0</v>
      </c>
      <c r="L29" s="25">
        <v>12</v>
      </c>
      <c r="M29" s="26" cm="1">
        <f t="array" ref="M29">L29*G29*F29</f>
        <v>0</v>
      </c>
    </row>
    <row r="30" spans="1:13" ht="20" customHeight="1" x14ac:dyDescent="0.15">
      <c r="A30" s="59"/>
      <c r="B30" s="27" t="s">
        <v>35</v>
      </c>
      <c r="C30" s="27"/>
      <c r="D30" s="27"/>
      <c r="E30" s="9"/>
      <c r="F30" s="28">
        <v>1</v>
      </c>
      <c r="G30" s="28">
        <v>4</v>
      </c>
      <c r="H30" s="11" t="s">
        <v>99</v>
      </c>
      <c r="I30" s="10"/>
      <c r="J30" s="10"/>
      <c r="K30" s="28" cm="1">
        <f t="array" ref="K30">J30*F30</f>
        <v>0</v>
      </c>
      <c r="L30" s="25">
        <v>12</v>
      </c>
      <c r="M30" s="26" cm="1">
        <f t="array" ref="M30">L30*G30*F30</f>
        <v>48</v>
      </c>
    </row>
    <row r="31" spans="1:13" ht="20" customHeight="1" x14ac:dyDescent="0.15">
      <c r="A31" s="59"/>
      <c r="B31" s="27" t="s">
        <v>36</v>
      </c>
      <c r="C31" s="27"/>
      <c r="D31" s="27"/>
      <c r="E31" s="9"/>
      <c r="F31" s="28">
        <v>1</v>
      </c>
      <c r="G31" s="28">
        <v>8</v>
      </c>
      <c r="H31" s="11" t="s">
        <v>100</v>
      </c>
      <c r="I31" s="10"/>
      <c r="J31" s="10"/>
      <c r="K31" s="28" cm="1">
        <f t="array" ref="K31">J31*F31</f>
        <v>0</v>
      </c>
      <c r="L31" s="25">
        <v>12</v>
      </c>
      <c r="M31" s="26" cm="1">
        <f t="array" ref="M31">L31*G31*F31</f>
        <v>96</v>
      </c>
    </row>
    <row r="32" spans="1:13" ht="20" customHeight="1" x14ac:dyDescent="0.15">
      <c r="A32" s="59"/>
      <c r="B32" s="27" t="s">
        <v>105</v>
      </c>
      <c r="C32" s="27"/>
      <c r="D32" s="27"/>
      <c r="E32" s="9"/>
      <c r="F32" s="28">
        <v>2</v>
      </c>
      <c r="G32" s="10"/>
      <c r="H32" s="10"/>
      <c r="I32" s="10"/>
      <c r="J32" s="10"/>
      <c r="K32" s="28" cm="1">
        <f t="array" ref="K32">J32*F32</f>
        <v>0</v>
      </c>
      <c r="L32" s="25">
        <v>12</v>
      </c>
      <c r="M32" s="26" cm="1">
        <f t="array" ref="M32">L32*G32*F32</f>
        <v>0</v>
      </c>
    </row>
    <row r="33" spans="1:13" ht="20" customHeight="1" x14ac:dyDescent="0.15">
      <c r="A33" s="59"/>
      <c r="B33" s="27" t="s">
        <v>88</v>
      </c>
      <c r="C33" s="27"/>
      <c r="D33" s="27"/>
      <c r="E33" s="9"/>
      <c r="F33" s="28">
        <v>4</v>
      </c>
      <c r="G33" s="10"/>
      <c r="H33" s="10"/>
      <c r="I33" s="10"/>
      <c r="J33" s="10"/>
      <c r="K33" s="28" cm="1">
        <f t="array" ref="K33">J33*F33</f>
        <v>0</v>
      </c>
      <c r="L33" s="25">
        <v>12</v>
      </c>
      <c r="M33" s="26" cm="1">
        <f t="array" ref="M33">L33*G33*F33</f>
        <v>0</v>
      </c>
    </row>
    <row r="34" spans="1:13" ht="20" customHeight="1" x14ac:dyDescent="0.15">
      <c r="A34" s="58" t="s">
        <v>37</v>
      </c>
      <c r="B34" s="27" t="s">
        <v>38</v>
      </c>
      <c r="C34" s="27"/>
      <c r="D34" s="27"/>
      <c r="E34" s="9"/>
      <c r="F34" s="28">
        <v>1</v>
      </c>
      <c r="G34" s="28">
        <v>6</v>
      </c>
      <c r="H34" s="11" t="s">
        <v>100</v>
      </c>
      <c r="I34" s="10"/>
      <c r="J34" s="10"/>
      <c r="K34" s="28" cm="1">
        <f t="array" ref="K34">J34*F34</f>
        <v>0</v>
      </c>
      <c r="L34" s="25">
        <v>12</v>
      </c>
      <c r="M34" s="26" cm="1">
        <f t="array" ref="M34">L34*G34*F34</f>
        <v>72</v>
      </c>
    </row>
    <row r="35" spans="1:13" ht="20" customHeight="1" x14ac:dyDescent="0.15">
      <c r="A35" s="59"/>
      <c r="B35" s="27" t="s">
        <v>39</v>
      </c>
      <c r="C35" s="27"/>
      <c r="D35" s="27"/>
      <c r="E35" s="9"/>
      <c r="F35" s="28">
        <v>1</v>
      </c>
      <c r="G35" s="28">
        <v>6</v>
      </c>
      <c r="H35" s="11" t="s">
        <v>100</v>
      </c>
      <c r="I35" s="10"/>
      <c r="J35" s="10"/>
      <c r="K35" s="28" cm="1">
        <f t="array" ref="K35">J35*F35</f>
        <v>0</v>
      </c>
      <c r="L35" s="25">
        <v>12</v>
      </c>
      <c r="M35" s="26" cm="1">
        <f t="array" ref="M35">L35*G35*F35</f>
        <v>72</v>
      </c>
    </row>
    <row r="36" spans="1:13" ht="20" customHeight="1" x14ac:dyDescent="0.15">
      <c r="A36" s="59"/>
      <c r="B36" s="27" t="s">
        <v>40</v>
      </c>
      <c r="C36" s="27"/>
      <c r="D36" s="27"/>
      <c r="E36" s="9"/>
      <c r="F36" s="28">
        <v>1</v>
      </c>
      <c r="G36" s="28">
        <v>6</v>
      </c>
      <c r="H36" s="11" t="s">
        <v>100</v>
      </c>
      <c r="I36" s="10"/>
      <c r="J36" s="10"/>
      <c r="K36" s="28" cm="1">
        <f t="array" ref="K36">J36*F36</f>
        <v>0</v>
      </c>
      <c r="L36" s="25">
        <v>12</v>
      </c>
      <c r="M36" s="26" cm="1">
        <f t="array" ref="M36">L36*G36*F36</f>
        <v>72</v>
      </c>
    </row>
    <row r="37" spans="1:13" ht="20" customHeight="1" x14ac:dyDescent="0.15">
      <c r="A37" s="60"/>
      <c r="B37" s="27" t="s">
        <v>41</v>
      </c>
      <c r="C37" s="27"/>
      <c r="D37" s="27"/>
      <c r="E37" s="9"/>
      <c r="F37" s="28">
        <v>2</v>
      </c>
      <c r="G37" s="28">
        <v>1</v>
      </c>
      <c r="H37" s="11" t="s">
        <v>100</v>
      </c>
      <c r="I37" s="10"/>
      <c r="J37" s="10"/>
      <c r="K37" s="28" cm="1">
        <f t="array" ref="K37">J37*F37</f>
        <v>0</v>
      </c>
      <c r="L37" s="25">
        <v>12</v>
      </c>
      <c r="M37" s="26" cm="1">
        <f t="array" ref="M37">L37*G37*F37</f>
        <v>24</v>
      </c>
    </row>
    <row r="38" spans="1:13" ht="20" customHeight="1" x14ac:dyDescent="0.15">
      <c r="A38" s="59"/>
      <c r="B38" s="27" t="s">
        <v>42</v>
      </c>
      <c r="C38" s="27"/>
      <c r="D38" s="27"/>
      <c r="E38" s="9"/>
      <c r="F38" s="28">
        <v>1</v>
      </c>
      <c r="G38" s="28">
        <v>10</v>
      </c>
      <c r="H38" s="11" t="s">
        <v>100</v>
      </c>
      <c r="I38" s="10"/>
      <c r="J38" s="10"/>
      <c r="K38" s="28" cm="1">
        <f t="array" ref="K38">J38*F38</f>
        <v>0</v>
      </c>
      <c r="L38" s="25">
        <v>12</v>
      </c>
      <c r="M38" s="26" cm="1">
        <f t="array" ref="M38">L38*G38*F38</f>
        <v>120</v>
      </c>
    </row>
    <row r="39" spans="1:13" ht="20" customHeight="1" x14ac:dyDescent="0.15">
      <c r="A39" s="59"/>
      <c r="B39" s="27" t="s">
        <v>43</v>
      </c>
      <c r="C39" s="27"/>
      <c r="D39" s="27"/>
      <c r="E39" s="9"/>
      <c r="F39" s="28">
        <v>1</v>
      </c>
      <c r="G39" s="28">
        <v>2</v>
      </c>
      <c r="H39" s="11" t="s">
        <v>100</v>
      </c>
      <c r="I39" s="10"/>
      <c r="J39" s="10"/>
      <c r="K39" s="28" cm="1">
        <f t="array" ref="K39">J39*F39</f>
        <v>0</v>
      </c>
      <c r="L39" s="25">
        <v>12</v>
      </c>
      <c r="M39" s="26" cm="1">
        <f t="array" ref="M39">L39*G39*F39</f>
        <v>24</v>
      </c>
    </row>
    <row r="40" spans="1:13" ht="20" customHeight="1" x14ac:dyDescent="0.15">
      <c r="A40" s="59"/>
      <c r="B40" s="27" t="s">
        <v>44</v>
      </c>
      <c r="C40" s="27"/>
      <c r="D40" s="27"/>
      <c r="E40" s="9"/>
      <c r="F40" s="28">
        <v>1</v>
      </c>
      <c r="G40" s="28">
        <v>2</v>
      </c>
      <c r="H40" s="11" t="s">
        <v>99</v>
      </c>
      <c r="I40" s="10"/>
      <c r="J40" s="10"/>
      <c r="K40" s="28" cm="1">
        <f t="array" ref="K40">J40*F40</f>
        <v>0</v>
      </c>
      <c r="L40" s="25">
        <v>12</v>
      </c>
      <c r="M40" s="26" cm="1">
        <f t="array" ref="M40">L40*G40*F40</f>
        <v>24</v>
      </c>
    </row>
    <row r="41" spans="1:13" ht="20" customHeight="1" x14ac:dyDescent="0.15">
      <c r="A41" s="59"/>
      <c r="B41" s="27" t="s">
        <v>89</v>
      </c>
      <c r="C41" s="27"/>
      <c r="D41" s="27"/>
      <c r="E41" s="9"/>
      <c r="F41" s="28">
        <v>1</v>
      </c>
      <c r="G41" s="10"/>
      <c r="H41" s="10"/>
      <c r="I41" s="10"/>
      <c r="J41" s="10"/>
      <c r="K41" s="28" cm="1">
        <f t="array" ref="K41">J41*F41</f>
        <v>0</v>
      </c>
      <c r="L41" s="25">
        <v>12</v>
      </c>
      <c r="M41" s="26" cm="1">
        <f t="array" ref="M41">L41*G41*F41</f>
        <v>0</v>
      </c>
    </row>
    <row r="42" spans="1:13" ht="20" customHeight="1" x14ac:dyDescent="0.15">
      <c r="A42" s="59"/>
      <c r="B42" s="27" t="s">
        <v>45</v>
      </c>
      <c r="C42" s="27"/>
      <c r="D42" s="27"/>
      <c r="E42" s="9"/>
      <c r="F42" s="28">
        <v>2</v>
      </c>
      <c r="G42" s="10"/>
      <c r="H42" s="10"/>
      <c r="I42" s="10"/>
      <c r="J42" s="10"/>
      <c r="K42" s="28" cm="1">
        <f t="array" ref="K42">J42*F42</f>
        <v>0</v>
      </c>
      <c r="L42" s="25">
        <v>12</v>
      </c>
      <c r="M42" s="26" cm="1">
        <f t="array" ref="M42">L42*G42*F42</f>
        <v>0</v>
      </c>
    </row>
    <row r="43" spans="1:13" ht="20" customHeight="1" x14ac:dyDescent="0.15">
      <c r="A43" s="59"/>
      <c r="B43" s="27" t="s">
        <v>46</v>
      </c>
      <c r="C43" s="27"/>
      <c r="D43" s="27"/>
      <c r="E43" s="9"/>
      <c r="F43" s="28">
        <v>1</v>
      </c>
      <c r="G43" s="10"/>
      <c r="H43" s="10"/>
      <c r="I43" s="10"/>
      <c r="J43" s="10"/>
      <c r="K43" s="28" cm="1">
        <f t="array" ref="K43">J43*F43</f>
        <v>0</v>
      </c>
      <c r="L43" s="25">
        <v>12</v>
      </c>
      <c r="M43" s="26" cm="1">
        <f t="array" ref="M43">L43*G43*F43</f>
        <v>0</v>
      </c>
    </row>
    <row r="44" spans="1:13" ht="20" customHeight="1" x14ac:dyDescent="0.15">
      <c r="A44" s="59"/>
      <c r="B44" s="27" t="s">
        <v>47</v>
      </c>
      <c r="C44" s="27"/>
      <c r="D44" s="27"/>
      <c r="E44" s="9"/>
      <c r="F44" s="28">
        <v>1</v>
      </c>
      <c r="G44" s="10"/>
      <c r="H44" s="10"/>
      <c r="I44" s="10"/>
      <c r="J44" s="10"/>
      <c r="K44" s="28" cm="1">
        <f t="array" ref="K44">J44*F44</f>
        <v>0</v>
      </c>
      <c r="L44" s="25">
        <v>12</v>
      </c>
      <c r="M44" s="31" cm="1">
        <f t="array" ref="M44">L44*G44*F44</f>
        <v>0</v>
      </c>
    </row>
    <row r="45" spans="1:13" ht="20" customHeight="1" x14ac:dyDescent="0.15">
      <c r="A45" s="12" t="s">
        <v>90</v>
      </c>
      <c r="B45" s="32"/>
      <c r="C45" s="32"/>
      <c r="D45" s="32"/>
      <c r="E45" s="33"/>
      <c r="F45" s="10"/>
      <c r="G45" s="10"/>
      <c r="H45" s="10"/>
      <c r="I45" s="10"/>
      <c r="J45" s="10"/>
      <c r="K45" s="28" cm="1">
        <f t="array" ref="K45">SUM(K3:K44)</f>
        <v>312</v>
      </c>
      <c r="L45" s="34"/>
      <c r="M45" s="28" cm="1">
        <f t="array" ref="M45">SUM(M3:M44)</f>
        <v>1464</v>
      </c>
    </row>
    <row r="46" spans="1:13" ht="20" customHeight="1" x14ac:dyDescent="0.15">
      <c r="A46" s="12" t="s">
        <v>106</v>
      </c>
      <c r="B46" s="32"/>
      <c r="C46" s="32"/>
      <c r="D46" s="32"/>
      <c r="E46" s="33"/>
      <c r="F46" s="10"/>
      <c r="G46" s="10"/>
      <c r="H46" s="10"/>
      <c r="I46" s="10"/>
      <c r="J46" s="10"/>
      <c r="K46" s="28">
        <v>1500</v>
      </c>
      <c r="L46" s="21"/>
      <c r="M46" s="35"/>
    </row>
    <row r="47" spans="1:13" ht="20" customHeight="1" x14ac:dyDescent="0.15">
      <c r="A47" s="12" t="s">
        <v>107</v>
      </c>
      <c r="B47" s="32"/>
      <c r="C47" s="32"/>
      <c r="D47" s="32"/>
      <c r="E47" s="33"/>
      <c r="F47" s="10"/>
      <c r="G47" s="10"/>
      <c r="H47" s="10"/>
      <c r="I47" s="10"/>
      <c r="J47" s="10"/>
      <c r="K47" s="36" cm="1">
        <f t="array" ref="K47">K45/K46</f>
        <v>0.20799999999999999</v>
      </c>
      <c r="L47" s="21"/>
      <c r="M47" s="22"/>
    </row>
    <row r="48" spans="1:13" ht="32" customHeight="1" x14ac:dyDescent="0.15">
      <c r="A48" s="12" t="s">
        <v>108</v>
      </c>
      <c r="B48" s="27" t="s">
        <v>109</v>
      </c>
      <c r="C48" s="27"/>
      <c r="D48" s="27"/>
      <c r="E48" s="9"/>
      <c r="F48" s="28">
        <v>2</v>
      </c>
      <c r="G48" s="11" t="s">
        <v>110</v>
      </c>
      <c r="H48" s="11" t="s">
        <v>99</v>
      </c>
      <c r="I48" s="11" t="s">
        <v>111</v>
      </c>
      <c r="J48" s="28">
        <v>24</v>
      </c>
      <c r="K48" s="28">
        <v>0</v>
      </c>
      <c r="L48" s="37"/>
      <c r="M48" s="38"/>
    </row>
  </sheetData>
  <mergeCells count="4">
    <mergeCell ref="A1:K1"/>
    <mergeCell ref="A20:A33"/>
    <mergeCell ref="A34:A44"/>
    <mergeCell ref="A3:A1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32"/>
  <sheetViews>
    <sheetView showGridLines="0" workbookViewId="0"/>
  </sheetViews>
  <sheetFormatPr baseColWidth="10" defaultColWidth="16.33203125" defaultRowHeight="20" customHeight="1" x14ac:dyDescent="0.15"/>
  <cols>
    <col min="1" max="1" width="19" style="1" customWidth="1"/>
    <col min="2" max="2" width="24.83203125" style="1" customWidth="1"/>
    <col min="3" max="3" width="11.33203125" style="1" customWidth="1"/>
    <col min="4" max="4" width="12.5" style="1" customWidth="1"/>
    <col min="5" max="5" width="11" style="1" customWidth="1"/>
    <col min="6" max="7" width="7.83203125" style="1" customWidth="1"/>
    <col min="8" max="8" width="9.6640625" style="1" customWidth="1"/>
    <col min="9" max="9" width="11.1640625" style="1" customWidth="1"/>
    <col min="10" max="10" width="9.6640625" style="1" customWidth="1"/>
    <col min="11" max="11" width="3.5" style="1" customWidth="1"/>
    <col min="12" max="13" width="4.5" style="1" customWidth="1"/>
    <col min="14" max="14" width="4.33203125" style="1" customWidth="1"/>
    <col min="15" max="15" width="16.33203125" style="1" customWidth="1"/>
    <col min="16" max="16384" width="16.33203125" style="1"/>
  </cols>
  <sheetData>
    <row r="1" spans="1:14" ht="27.75" customHeight="1" x14ac:dyDescent="0.15">
      <c r="A1" s="63" t="s">
        <v>112</v>
      </c>
      <c r="B1" s="56"/>
      <c r="C1" s="57"/>
      <c r="D1" s="57"/>
      <c r="E1" s="57"/>
      <c r="F1" s="56"/>
      <c r="G1" s="56"/>
      <c r="H1" s="56"/>
      <c r="I1" s="56"/>
      <c r="J1" s="56"/>
      <c r="K1" s="56"/>
      <c r="L1" s="2"/>
      <c r="M1" s="2"/>
      <c r="N1" s="39"/>
    </row>
    <row r="2" spans="1:14" ht="26.75" customHeight="1" x14ac:dyDescent="0.15">
      <c r="A2" s="4" t="s">
        <v>0</v>
      </c>
      <c r="B2" s="4" t="s">
        <v>1</v>
      </c>
      <c r="C2" s="4" t="s">
        <v>92</v>
      </c>
      <c r="D2" s="4" t="s">
        <v>93</v>
      </c>
      <c r="E2" s="4" t="s">
        <v>94</v>
      </c>
      <c r="F2" s="4" t="s">
        <v>2</v>
      </c>
      <c r="G2" s="4" t="s">
        <v>3</v>
      </c>
      <c r="H2" s="4" t="s">
        <v>95</v>
      </c>
      <c r="I2" s="4" t="s">
        <v>96</v>
      </c>
      <c r="J2" s="4" t="s">
        <v>97</v>
      </c>
      <c r="K2" s="40"/>
      <c r="L2" s="40"/>
      <c r="M2" s="40"/>
      <c r="N2" s="40"/>
    </row>
    <row r="3" spans="1:14" ht="20.75" customHeight="1" x14ac:dyDescent="0.15">
      <c r="A3" s="6" t="s">
        <v>48</v>
      </c>
      <c r="B3" s="7" t="s">
        <v>49</v>
      </c>
      <c r="C3" s="8"/>
      <c r="D3" s="8"/>
      <c r="E3" s="8"/>
      <c r="F3" s="8"/>
      <c r="G3" s="8"/>
      <c r="H3" s="8"/>
      <c r="I3" s="8"/>
      <c r="J3" s="8"/>
      <c r="K3" s="30" cm="1">
        <f t="array" ref="K3">J3*F3</f>
        <v>0</v>
      </c>
      <c r="L3" s="30">
        <v>12</v>
      </c>
      <c r="M3" s="30" cm="1">
        <f t="array" ref="M3">L3*G3*F3</f>
        <v>0</v>
      </c>
      <c r="N3" s="15"/>
    </row>
    <row r="4" spans="1:14" ht="20" customHeight="1" x14ac:dyDescent="0.15">
      <c r="A4" s="59"/>
      <c r="B4" s="9" t="s">
        <v>50</v>
      </c>
      <c r="C4" s="10"/>
      <c r="D4" s="10"/>
      <c r="E4" s="10"/>
      <c r="F4" s="28">
        <v>1</v>
      </c>
      <c r="G4" s="28">
        <v>8</v>
      </c>
      <c r="H4" s="11" t="s">
        <v>99</v>
      </c>
      <c r="I4" s="10"/>
      <c r="J4" s="10"/>
      <c r="K4" s="30" cm="1">
        <f t="array" ref="K4">J4*F4</f>
        <v>0</v>
      </c>
      <c r="L4" s="30">
        <v>12</v>
      </c>
      <c r="M4" s="30" cm="1">
        <f t="array" ref="M4">L4*G4*F4</f>
        <v>96</v>
      </c>
      <c r="N4" s="15"/>
    </row>
    <row r="5" spans="1:14" ht="20" customHeight="1" x14ac:dyDescent="0.15">
      <c r="A5" s="59"/>
      <c r="B5" s="9" t="s">
        <v>51</v>
      </c>
      <c r="C5" s="10"/>
      <c r="D5" s="10"/>
      <c r="E5" s="10"/>
      <c r="F5" s="28">
        <v>1</v>
      </c>
      <c r="G5" s="28">
        <v>4</v>
      </c>
      <c r="H5" s="11" t="s">
        <v>99</v>
      </c>
      <c r="I5" s="10"/>
      <c r="J5" s="10"/>
      <c r="K5" s="30" cm="1">
        <f t="array" ref="K5">J5*F5</f>
        <v>0</v>
      </c>
      <c r="L5" s="30">
        <v>12</v>
      </c>
      <c r="M5" s="30" cm="1">
        <f t="array" ref="M5">L5*G5*F5</f>
        <v>48</v>
      </c>
      <c r="N5" s="15"/>
    </row>
    <row r="6" spans="1:14" ht="20" customHeight="1" x14ac:dyDescent="0.15">
      <c r="A6" s="59"/>
      <c r="B6" s="9" t="s">
        <v>52</v>
      </c>
      <c r="C6" s="10"/>
      <c r="D6" s="10"/>
      <c r="E6" s="10"/>
      <c r="F6" s="28">
        <v>1</v>
      </c>
      <c r="G6" s="28">
        <v>4</v>
      </c>
      <c r="H6" s="11" t="s">
        <v>99</v>
      </c>
      <c r="I6" s="10"/>
      <c r="J6" s="10"/>
      <c r="K6" s="30" cm="1">
        <f t="array" ref="K6">J6*F6</f>
        <v>0</v>
      </c>
      <c r="L6" s="30">
        <v>12</v>
      </c>
      <c r="M6" s="30" cm="1">
        <f t="array" ref="M6">L6*G6*F6</f>
        <v>48</v>
      </c>
      <c r="N6" s="15"/>
    </row>
    <row r="7" spans="1:14" ht="20" customHeight="1" x14ac:dyDescent="0.15">
      <c r="A7" s="59"/>
      <c r="B7" s="9" t="s">
        <v>53</v>
      </c>
      <c r="C7" s="10"/>
      <c r="D7" s="10"/>
      <c r="E7" s="10"/>
      <c r="F7" s="28">
        <v>1</v>
      </c>
      <c r="G7" s="28">
        <v>4</v>
      </c>
      <c r="H7" s="11" t="s">
        <v>99</v>
      </c>
      <c r="I7" s="10"/>
      <c r="J7" s="10"/>
      <c r="K7" s="30" cm="1">
        <f t="array" ref="K7">J7*F7</f>
        <v>0</v>
      </c>
      <c r="L7" s="30">
        <v>12</v>
      </c>
      <c r="M7" s="30" cm="1">
        <f t="array" ref="M7">L7*G7*F7</f>
        <v>48</v>
      </c>
      <c r="N7" s="15"/>
    </row>
    <row r="8" spans="1:14" ht="20" customHeight="1" x14ac:dyDescent="0.15">
      <c r="A8" s="59"/>
      <c r="B8" s="9" t="s">
        <v>54</v>
      </c>
      <c r="C8" s="10"/>
      <c r="D8" s="10"/>
      <c r="E8" s="10"/>
      <c r="F8" s="28">
        <v>1</v>
      </c>
      <c r="G8" s="28">
        <v>4</v>
      </c>
      <c r="H8" s="11" t="s">
        <v>99</v>
      </c>
      <c r="I8" s="10"/>
      <c r="J8" s="10"/>
      <c r="K8" s="30" cm="1">
        <f t="array" ref="K8">J8*F8</f>
        <v>0</v>
      </c>
      <c r="L8" s="30">
        <v>12</v>
      </c>
      <c r="M8" s="30" cm="1">
        <f t="array" ref="M8">L8*G8*F8</f>
        <v>48</v>
      </c>
      <c r="N8" s="15"/>
    </row>
    <row r="9" spans="1:14" ht="20" customHeight="1" x14ac:dyDescent="0.15">
      <c r="A9" s="59"/>
      <c r="B9" s="9" t="s">
        <v>54</v>
      </c>
      <c r="C9" s="10"/>
      <c r="D9" s="10"/>
      <c r="E9" s="10"/>
      <c r="F9" s="28">
        <v>1</v>
      </c>
      <c r="G9" s="28">
        <v>4</v>
      </c>
      <c r="H9" s="11" t="s">
        <v>99</v>
      </c>
      <c r="I9" s="10"/>
      <c r="J9" s="10"/>
      <c r="K9" s="24" cm="1">
        <f t="array" ref="K9">J9*F9</f>
        <v>0</v>
      </c>
      <c r="L9" s="30">
        <v>12</v>
      </c>
      <c r="M9" s="30" cm="1">
        <f t="array" ref="M9">L9*G9*F9</f>
        <v>48</v>
      </c>
      <c r="N9" s="15"/>
    </row>
    <row r="10" spans="1:14" ht="20" customHeight="1" x14ac:dyDescent="0.15">
      <c r="A10" s="59"/>
      <c r="B10" s="9" t="s">
        <v>55</v>
      </c>
      <c r="C10" s="10"/>
      <c r="D10" s="10"/>
      <c r="E10" s="10"/>
      <c r="F10" s="28">
        <v>1</v>
      </c>
      <c r="G10" s="28">
        <v>4</v>
      </c>
      <c r="H10" s="11" t="s">
        <v>113</v>
      </c>
      <c r="I10" s="10"/>
      <c r="J10" s="10"/>
      <c r="K10" s="28" cm="1">
        <f t="array" ref="K10">J10*F10</f>
        <v>0</v>
      </c>
      <c r="L10" s="30">
        <v>12</v>
      </c>
      <c r="M10" s="30" cm="1">
        <f t="array" ref="M10">L10*G10*F10</f>
        <v>48</v>
      </c>
      <c r="N10" s="15"/>
    </row>
    <row r="11" spans="1:14" ht="20" customHeight="1" x14ac:dyDescent="0.15">
      <c r="A11" s="59"/>
      <c r="B11" s="9" t="s">
        <v>56</v>
      </c>
      <c r="C11" s="10"/>
      <c r="D11" s="10"/>
      <c r="E11" s="10"/>
      <c r="F11" s="28">
        <v>1</v>
      </c>
      <c r="G11" s="28">
        <v>4</v>
      </c>
      <c r="H11" s="11" t="s">
        <v>99</v>
      </c>
      <c r="I11" s="10"/>
      <c r="J11" s="10"/>
      <c r="K11" s="28" cm="1">
        <f t="array" ref="K11">J11*F11</f>
        <v>0</v>
      </c>
      <c r="L11" s="30">
        <v>12</v>
      </c>
      <c r="M11" s="30" cm="1">
        <f t="array" ref="M11">L11*G11*F11</f>
        <v>48</v>
      </c>
      <c r="N11" s="15"/>
    </row>
    <row r="12" spans="1:14" ht="20" customHeight="1" x14ac:dyDescent="0.15">
      <c r="A12" s="59"/>
      <c r="B12" s="9" t="s">
        <v>57</v>
      </c>
      <c r="C12" s="10"/>
      <c r="D12" s="10"/>
      <c r="E12" s="10"/>
      <c r="F12" s="28">
        <v>1</v>
      </c>
      <c r="G12" s="28">
        <v>6</v>
      </c>
      <c r="H12" s="11" t="s">
        <v>113</v>
      </c>
      <c r="I12" s="10"/>
      <c r="J12" s="10"/>
      <c r="K12" s="28" cm="1">
        <f t="array" ref="K12">J12*F12</f>
        <v>0</v>
      </c>
      <c r="L12" s="30">
        <v>12</v>
      </c>
      <c r="M12" s="30" cm="1">
        <f t="array" ref="M12">L12*G12*F12</f>
        <v>72</v>
      </c>
      <c r="N12" s="15"/>
    </row>
    <row r="13" spans="1:14" ht="20" customHeight="1" x14ac:dyDescent="0.15">
      <c r="A13" s="59"/>
      <c r="B13" s="9" t="s">
        <v>58</v>
      </c>
      <c r="C13" s="10"/>
      <c r="D13" s="10"/>
      <c r="E13" s="10"/>
      <c r="F13" s="28">
        <v>1</v>
      </c>
      <c r="G13" s="28">
        <v>2</v>
      </c>
      <c r="H13" s="11" t="s">
        <v>99</v>
      </c>
      <c r="I13" s="10"/>
      <c r="J13" s="10"/>
      <c r="K13" s="28" cm="1">
        <f t="array" ref="K13">J13*F13</f>
        <v>0</v>
      </c>
      <c r="L13" s="30">
        <v>12</v>
      </c>
      <c r="M13" s="30" cm="1">
        <f t="array" ref="M13">L13*G13*F13</f>
        <v>24</v>
      </c>
      <c r="N13" s="15"/>
    </row>
    <row r="14" spans="1:14" ht="20" customHeight="1" x14ac:dyDescent="0.15">
      <c r="A14" s="59"/>
      <c r="B14" s="9" t="s">
        <v>59</v>
      </c>
      <c r="C14" s="10"/>
      <c r="D14" s="10"/>
      <c r="E14" s="10"/>
      <c r="F14" s="28">
        <v>2</v>
      </c>
      <c r="G14" s="28">
        <v>4</v>
      </c>
      <c r="H14" s="11" t="s">
        <v>99</v>
      </c>
      <c r="I14" s="10"/>
      <c r="J14" s="10"/>
      <c r="K14" s="28" cm="1">
        <f t="array" ref="K14">J14*F14</f>
        <v>0</v>
      </c>
      <c r="L14" s="30">
        <v>12</v>
      </c>
      <c r="M14" s="30" cm="1">
        <f t="array" ref="M14">L14*G14*F14</f>
        <v>96</v>
      </c>
      <c r="N14" s="15"/>
    </row>
    <row r="15" spans="1:14" ht="20" customHeight="1" x14ac:dyDescent="0.15">
      <c r="A15" s="59"/>
      <c r="B15" s="9" t="s">
        <v>105</v>
      </c>
      <c r="C15" s="10"/>
      <c r="D15" s="10"/>
      <c r="E15" s="10"/>
      <c r="F15" s="28">
        <v>2</v>
      </c>
      <c r="G15" s="10"/>
      <c r="H15" s="10"/>
      <c r="I15" s="10"/>
      <c r="J15" s="10"/>
      <c r="K15" s="28" cm="1">
        <f t="array" ref="K15">J15*F15</f>
        <v>0</v>
      </c>
      <c r="L15" s="30">
        <v>12</v>
      </c>
      <c r="M15" s="30" cm="1">
        <f t="array" ref="M15">L15*G15*F15</f>
        <v>0</v>
      </c>
      <c r="N15" s="15"/>
    </row>
    <row r="16" spans="1:14" ht="20" customHeight="1" x14ac:dyDescent="0.15">
      <c r="A16" s="59"/>
      <c r="B16" s="9" t="s">
        <v>88</v>
      </c>
      <c r="C16" s="10"/>
      <c r="D16" s="10"/>
      <c r="E16" s="10"/>
      <c r="F16" s="28">
        <v>4</v>
      </c>
      <c r="G16" s="10"/>
      <c r="H16" s="10"/>
      <c r="I16" s="10"/>
      <c r="J16" s="10"/>
      <c r="K16" s="28" cm="1">
        <f t="array" ref="K16">J16*F16</f>
        <v>0</v>
      </c>
      <c r="L16" s="30">
        <v>12</v>
      </c>
      <c r="M16" s="30" cm="1">
        <f t="array" ref="M16">L16*G16*F16</f>
        <v>0</v>
      </c>
      <c r="N16" s="15"/>
    </row>
    <row r="17" spans="1:14" ht="20" customHeight="1" x14ac:dyDescent="0.15">
      <c r="A17" s="58" t="s">
        <v>114</v>
      </c>
      <c r="B17" s="9" t="s">
        <v>61</v>
      </c>
      <c r="C17" s="10"/>
      <c r="D17" s="10"/>
      <c r="E17" s="10"/>
      <c r="F17" s="28">
        <v>1</v>
      </c>
      <c r="G17" s="28">
        <v>8</v>
      </c>
      <c r="H17" s="11" t="s">
        <v>113</v>
      </c>
      <c r="I17" s="10"/>
      <c r="J17" s="10"/>
      <c r="K17" s="28" cm="1">
        <f t="array" ref="K17">J17*F17</f>
        <v>0</v>
      </c>
      <c r="L17" s="30">
        <v>12</v>
      </c>
      <c r="M17" s="30" cm="1">
        <f t="array" ref="M17">L17*G17*F17</f>
        <v>96</v>
      </c>
      <c r="N17" s="15"/>
    </row>
    <row r="18" spans="1:14" ht="20" customHeight="1" x14ac:dyDescent="0.15">
      <c r="A18" s="59"/>
      <c r="B18" s="9" t="s">
        <v>62</v>
      </c>
      <c r="C18" s="10"/>
      <c r="D18" s="10"/>
      <c r="E18" s="10"/>
      <c r="F18" s="28">
        <v>1</v>
      </c>
      <c r="G18" s="28">
        <v>4</v>
      </c>
      <c r="H18" s="11" t="s">
        <v>99</v>
      </c>
      <c r="I18" s="10"/>
      <c r="J18" s="10"/>
      <c r="K18" s="28" cm="1">
        <f t="array" ref="K18">J18*F18</f>
        <v>0</v>
      </c>
      <c r="L18" s="30">
        <v>12</v>
      </c>
      <c r="M18" s="30" cm="1">
        <f t="array" ref="M18">L18*G18*F18</f>
        <v>48</v>
      </c>
      <c r="N18" s="15"/>
    </row>
    <row r="19" spans="1:14" ht="20" customHeight="1" x14ac:dyDescent="0.15">
      <c r="A19" s="59"/>
      <c r="B19" s="9" t="s">
        <v>63</v>
      </c>
      <c r="C19" s="10"/>
      <c r="D19" s="10"/>
      <c r="E19" s="10"/>
      <c r="F19" s="28">
        <v>1</v>
      </c>
      <c r="G19" s="28">
        <v>1</v>
      </c>
      <c r="H19" s="11" t="s">
        <v>113</v>
      </c>
      <c r="I19" s="10"/>
      <c r="J19" s="10"/>
      <c r="K19" s="28" cm="1">
        <f t="array" ref="K19">J19*F19</f>
        <v>0</v>
      </c>
      <c r="L19" s="30">
        <v>12</v>
      </c>
      <c r="M19" s="30" cm="1">
        <f t="array" ref="M19">L19*G19*F19</f>
        <v>12</v>
      </c>
      <c r="N19" s="15"/>
    </row>
    <row r="20" spans="1:14" ht="20" customHeight="1" x14ac:dyDescent="0.15">
      <c r="A20" s="59"/>
      <c r="B20" s="9" t="s">
        <v>64</v>
      </c>
      <c r="C20" s="10"/>
      <c r="D20" s="10"/>
      <c r="E20" s="10"/>
      <c r="F20" s="28">
        <v>1</v>
      </c>
      <c r="G20" s="28">
        <v>6</v>
      </c>
      <c r="H20" s="11" t="s">
        <v>99</v>
      </c>
      <c r="I20" s="10"/>
      <c r="J20" s="10"/>
      <c r="K20" s="28" cm="1">
        <f t="array" ref="K20">J20*F20</f>
        <v>0</v>
      </c>
      <c r="L20" s="30">
        <v>12</v>
      </c>
      <c r="M20" s="30" cm="1">
        <f t="array" ref="M20">L20*G20*F20</f>
        <v>72</v>
      </c>
      <c r="N20" s="15"/>
    </row>
    <row r="21" spans="1:14" ht="20" customHeight="1" x14ac:dyDescent="0.15">
      <c r="A21" s="59"/>
      <c r="B21" s="9" t="s">
        <v>65</v>
      </c>
      <c r="C21" s="10"/>
      <c r="D21" s="10"/>
      <c r="E21" s="10"/>
      <c r="F21" s="28">
        <v>1</v>
      </c>
      <c r="G21" s="28">
        <v>2</v>
      </c>
      <c r="H21" s="11" t="s">
        <v>99</v>
      </c>
      <c r="I21" s="10"/>
      <c r="J21" s="10"/>
      <c r="K21" s="28" cm="1">
        <f t="array" ref="K21">J21*F21</f>
        <v>0</v>
      </c>
      <c r="L21" s="30">
        <v>12</v>
      </c>
      <c r="M21" s="30" cm="1">
        <f t="array" ref="M21">L21*G21*F21</f>
        <v>24</v>
      </c>
      <c r="N21" s="15"/>
    </row>
    <row r="22" spans="1:14" ht="20" customHeight="1" x14ac:dyDescent="0.15">
      <c r="A22" s="59"/>
      <c r="B22" s="9" t="s">
        <v>105</v>
      </c>
      <c r="C22" s="10"/>
      <c r="D22" s="10"/>
      <c r="E22" s="10"/>
      <c r="F22" s="28">
        <v>2</v>
      </c>
      <c r="G22" s="10"/>
      <c r="H22" s="10"/>
      <c r="I22" s="10"/>
      <c r="J22" s="10"/>
      <c r="K22" s="28" cm="1">
        <f t="array" ref="K22">J22*F22</f>
        <v>0</v>
      </c>
      <c r="L22" s="30">
        <v>12</v>
      </c>
      <c r="M22" s="30" cm="1">
        <f t="array" ref="M22">L22*G22*F22</f>
        <v>0</v>
      </c>
      <c r="N22" s="15"/>
    </row>
    <row r="23" spans="1:14" ht="20" customHeight="1" x14ac:dyDescent="0.15">
      <c r="A23" s="59"/>
      <c r="B23" s="9" t="s">
        <v>88</v>
      </c>
      <c r="C23" s="10"/>
      <c r="D23" s="10"/>
      <c r="E23" s="10"/>
      <c r="F23" s="28">
        <v>4</v>
      </c>
      <c r="G23" s="10"/>
      <c r="H23" s="10"/>
      <c r="I23" s="10"/>
      <c r="J23" s="10"/>
      <c r="K23" s="28" cm="1">
        <f t="array" ref="K23">J23*F23</f>
        <v>0</v>
      </c>
      <c r="L23" s="30">
        <v>12</v>
      </c>
      <c r="M23" s="30" cm="1">
        <f t="array" ref="M23">L23*G23*F23</f>
        <v>0</v>
      </c>
      <c r="N23" s="15"/>
    </row>
    <row r="24" spans="1:14" ht="20" customHeight="1" x14ac:dyDescent="0.15">
      <c r="A24" s="58" t="s">
        <v>66</v>
      </c>
      <c r="B24" s="9" t="s">
        <v>67</v>
      </c>
      <c r="C24" s="10"/>
      <c r="D24" s="10"/>
      <c r="E24" s="10"/>
      <c r="F24" s="28">
        <v>5</v>
      </c>
      <c r="G24" s="28">
        <v>6</v>
      </c>
      <c r="H24" s="11" t="s">
        <v>113</v>
      </c>
      <c r="I24" s="10"/>
      <c r="J24" s="10"/>
      <c r="K24" s="28" cm="1">
        <f t="array" ref="K24">J24*F24</f>
        <v>0</v>
      </c>
      <c r="L24" s="30">
        <v>12</v>
      </c>
      <c r="M24" s="30" cm="1">
        <f t="array" ref="M24">L24*G24*F24</f>
        <v>360</v>
      </c>
      <c r="N24" s="15"/>
    </row>
    <row r="25" spans="1:14" ht="20" customHeight="1" x14ac:dyDescent="0.15">
      <c r="A25" s="59"/>
      <c r="B25" s="9" t="s">
        <v>68</v>
      </c>
      <c r="C25" s="10"/>
      <c r="D25" s="10"/>
      <c r="E25" s="10"/>
      <c r="F25" s="28">
        <v>2</v>
      </c>
      <c r="G25" s="10"/>
      <c r="H25" s="10"/>
      <c r="I25" s="10"/>
      <c r="J25" s="10"/>
      <c r="K25" s="28" cm="1">
        <f t="array" ref="K25">J25*F25</f>
        <v>0</v>
      </c>
      <c r="L25" s="30">
        <v>12</v>
      </c>
      <c r="M25" s="30" cm="1">
        <f t="array" ref="M25">L25*G25*F25</f>
        <v>0</v>
      </c>
      <c r="N25" s="15"/>
    </row>
    <row r="26" spans="1:14" ht="20" customHeight="1" x14ac:dyDescent="0.15">
      <c r="A26" s="59"/>
      <c r="B26" s="9" t="s">
        <v>46</v>
      </c>
      <c r="C26" s="10"/>
      <c r="D26" s="10"/>
      <c r="E26" s="10"/>
      <c r="F26" s="28">
        <v>1</v>
      </c>
      <c r="G26" s="10"/>
      <c r="H26" s="10"/>
      <c r="I26" s="10"/>
      <c r="J26" s="10"/>
      <c r="K26" s="28" cm="1">
        <f t="array" ref="K26">J26*F26</f>
        <v>0</v>
      </c>
      <c r="L26" s="30">
        <v>12</v>
      </c>
      <c r="M26" s="30" cm="1">
        <f t="array" ref="M26">L26*G26*F26</f>
        <v>0</v>
      </c>
      <c r="N26" s="15"/>
    </row>
    <row r="27" spans="1:14" ht="20" customHeight="1" x14ac:dyDescent="0.15">
      <c r="A27" s="59"/>
      <c r="B27" s="9" t="s">
        <v>69</v>
      </c>
      <c r="C27" s="10"/>
      <c r="D27" s="10"/>
      <c r="E27" s="10"/>
      <c r="F27" s="28">
        <v>1</v>
      </c>
      <c r="G27" s="28">
        <v>15</v>
      </c>
      <c r="H27" s="11" t="s">
        <v>99</v>
      </c>
      <c r="I27" s="10"/>
      <c r="J27" s="10"/>
      <c r="K27" s="28" cm="1">
        <f t="array" ref="K27">J27*F27</f>
        <v>0</v>
      </c>
      <c r="L27" s="30">
        <v>12</v>
      </c>
      <c r="M27" s="30" cm="1">
        <f t="array" ref="M27">L27*G27*F27</f>
        <v>180</v>
      </c>
      <c r="N27" s="15"/>
    </row>
    <row r="28" spans="1:14" ht="20" customHeight="1" x14ac:dyDescent="0.15">
      <c r="A28" s="12" t="s">
        <v>70</v>
      </c>
      <c r="B28" s="9" t="s">
        <v>71</v>
      </c>
      <c r="C28" s="10"/>
      <c r="D28" s="10"/>
      <c r="E28" s="10"/>
      <c r="F28" s="28">
        <v>3</v>
      </c>
      <c r="G28" s="28">
        <v>4</v>
      </c>
      <c r="H28" s="11" t="s">
        <v>113</v>
      </c>
      <c r="I28" s="10"/>
      <c r="J28" s="10"/>
      <c r="K28" s="28" cm="1">
        <f t="array" ref="K28">J28*F28</f>
        <v>0</v>
      </c>
      <c r="L28" s="24">
        <v>12</v>
      </c>
      <c r="M28" s="24" cm="1">
        <f t="array" ref="M28">L28*G28*F28</f>
        <v>144</v>
      </c>
      <c r="N28" s="8"/>
    </row>
    <row r="29" spans="1:14" ht="20" customHeight="1" x14ac:dyDescent="0.15">
      <c r="A29" s="12" t="s">
        <v>90</v>
      </c>
      <c r="B29" s="33"/>
      <c r="C29" s="10"/>
      <c r="D29" s="10"/>
      <c r="E29" s="10"/>
      <c r="F29" s="10"/>
      <c r="G29" s="10"/>
      <c r="H29" s="10"/>
      <c r="I29" s="10"/>
      <c r="J29" s="10"/>
      <c r="K29" s="28" cm="1">
        <f t="array" ref="K29">SUM(K13:K28)</f>
        <v>0</v>
      </c>
      <c r="L29" s="10"/>
      <c r="M29" s="28" cm="1">
        <f t="array" ref="M29">M28+M27+M26+M25+M24+M23+M22+M21+M20+M19+M18+M17+M16+M15+M14+M13+M12+M11+M10+M9+M8+M7+M6+M5+M4+M3</f>
        <v>1560</v>
      </c>
      <c r="N29" s="10"/>
    </row>
    <row r="30" spans="1:14" ht="20" customHeight="1" x14ac:dyDescent="0.15">
      <c r="A30" s="12" t="s">
        <v>106</v>
      </c>
      <c r="B30" s="33"/>
      <c r="C30" s="10"/>
      <c r="D30" s="10"/>
      <c r="E30" s="10"/>
      <c r="F30" s="10"/>
      <c r="G30" s="10"/>
      <c r="H30" s="10"/>
      <c r="I30" s="10"/>
      <c r="J30" s="10"/>
      <c r="K30" s="28">
        <v>1750</v>
      </c>
      <c r="L30" s="10"/>
      <c r="M30" s="10"/>
      <c r="N30" s="10"/>
    </row>
    <row r="31" spans="1:14" ht="20" customHeight="1" x14ac:dyDescent="0.15">
      <c r="A31" s="12" t="s">
        <v>107</v>
      </c>
      <c r="B31" s="33"/>
      <c r="C31" s="10"/>
      <c r="D31" s="10"/>
      <c r="E31" s="10"/>
      <c r="F31" s="10"/>
      <c r="G31" s="10"/>
      <c r="H31" s="10"/>
      <c r="I31" s="10"/>
      <c r="J31" s="10"/>
      <c r="K31" s="19" cm="1">
        <f t="array" ref="K31">K29/K30</f>
        <v>0</v>
      </c>
      <c r="L31" s="19"/>
      <c r="M31" s="19"/>
      <c r="N31" s="19"/>
    </row>
    <row r="32" spans="1:14" ht="32" customHeight="1" x14ac:dyDescent="0.15">
      <c r="A32" s="12" t="s">
        <v>108</v>
      </c>
      <c r="B32" s="9" t="s">
        <v>109</v>
      </c>
      <c r="C32" s="10"/>
      <c r="D32" s="10"/>
      <c r="E32" s="10"/>
      <c r="F32" s="28">
        <v>2</v>
      </c>
      <c r="G32" s="11" t="s">
        <v>110</v>
      </c>
      <c r="H32" s="11" t="s">
        <v>99</v>
      </c>
      <c r="I32" s="11" t="s">
        <v>115</v>
      </c>
      <c r="J32" s="28">
        <v>100</v>
      </c>
      <c r="K32" s="10"/>
      <c r="L32" s="10"/>
      <c r="M32" s="10"/>
      <c r="N32" s="10"/>
    </row>
  </sheetData>
  <mergeCells count="4">
    <mergeCell ref="A1:K1"/>
    <mergeCell ref="A4:A16"/>
    <mergeCell ref="A17:A23"/>
    <mergeCell ref="A24:A27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3"/>
  <sheetViews>
    <sheetView showGridLines="0" tabSelected="1" workbookViewId="0">
      <selection sqref="A1:K1"/>
    </sheetView>
  </sheetViews>
  <sheetFormatPr baseColWidth="10" defaultColWidth="16.33203125" defaultRowHeight="20" customHeight="1" x14ac:dyDescent="0.15"/>
  <cols>
    <col min="1" max="1" width="7.83203125" style="1" customWidth="1"/>
    <col min="2" max="2" width="21.6640625" style="1" customWidth="1"/>
    <col min="3" max="3" width="11.1640625" style="1" customWidth="1"/>
    <col min="4" max="4" width="12.1640625" style="1" customWidth="1"/>
    <col min="5" max="5" width="11" style="1" customWidth="1"/>
    <col min="6" max="6" width="6.5" style="1" customWidth="1"/>
    <col min="7" max="7" width="6.33203125" style="1" customWidth="1"/>
    <col min="8" max="8" width="8" style="1" customWidth="1"/>
    <col min="9" max="9" width="9.6640625" style="1" customWidth="1"/>
    <col min="10" max="10" width="7.33203125" style="1" customWidth="1"/>
    <col min="11" max="11" width="7.5" style="1" customWidth="1"/>
    <col min="12" max="12" width="3" style="1" customWidth="1"/>
    <col min="13" max="13" width="4.83203125" style="1" customWidth="1"/>
    <col min="14" max="14" width="16.33203125" style="1" customWidth="1"/>
    <col min="15" max="16384" width="16.33203125" style="1"/>
  </cols>
  <sheetData>
    <row r="1" spans="1:13" ht="27.75" customHeight="1" x14ac:dyDescent="0.15">
      <c r="A1" s="63" t="s">
        <v>116</v>
      </c>
      <c r="B1" s="56"/>
      <c r="C1" s="57"/>
      <c r="D1" s="57"/>
      <c r="E1" s="57"/>
      <c r="F1" s="56"/>
      <c r="G1" s="56"/>
      <c r="H1" s="56"/>
      <c r="I1" s="56"/>
      <c r="J1" s="56"/>
      <c r="K1" s="56"/>
      <c r="L1" s="2"/>
      <c r="M1" s="39"/>
    </row>
    <row r="2" spans="1:13" ht="26.75" customHeight="1" x14ac:dyDescent="0.15">
      <c r="A2" s="4" t="s">
        <v>0</v>
      </c>
      <c r="B2" s="4" t="s">
        <v>1</v>
      </c>
      <c r="C2" s="4" t="s">
        <v>92</v>
      </c>
      <c r="D2" s="4" t="s">
        <v>93</v>
      </c>
      <c r="E2" s="4" t="s">
        <v>94</v>
      </c>
      <c r="F2" s="4" t="s">
        <v>117</v>
      </c>
      <c r="G2" s="4" t="s">
        <v>3</v>
      </c>
      <c r="H2" s="41" t="s">
        <v>95</v>
      </c>
      <c r="I2" s="4" t="s">
        <v>96</v>
      </c>
      <c r="J2" s="4" t="s">
        <v>97</v>
      </c>
      <c r="K2" s="40"/>
      <c r="L2" s="40"/>
      <c r="M2" s="40"/>
    </row>
    <row r="3" spans="1:13" ht="20.25" customHeight="1" x14ac:dyDescent="0.15">
      <c r="A3" s="62" t="s">
        <v>72</v>
      </c>
      <c r="B3" s="7" t="s">
        <v>73</v>
      </c>
      <c r="C3" s="8"/>
      <c r="D3" s="8"/>
      <c r="E3" s="8"/>
      <c r="F3" s="24">
        <v>1</v>
      </c>
      <c r="G3" s="24">
        <v>1</v>
      </c>
      <c r="H3" s="11" t="s">
        <v>100</v>
      </c>
      <c r="I3" s="8"/>
      <c r="J3" s="8"/>
      <c r="K3" s="24" cm="1">
        <f t="array" ref="K3">J3*F3</f>
        <v>0</v>
      </c>
      <c r="L3" s="30">
        <v>12</v>
      </c>
      <c r="M3" s="30" cm="1">
        <f t="array" ref="M3">L3*G3*F3</f>
        <v>12</v>
      </c>
    </row>
    <row r="4" spans="1:13" ht="20" customHeight="1" x14ac:dyDescent="0.15">
      <c r="A4" s="59"/>
      <c r="B4" s="9" t="s">
        <v>74</v>
      </c>
      <c r="C4" s="10"/>
      <c r="D4" s="10"/>
      <c r="E4" s="10"/>
      <c r="F4" s="28">
        <v>1</v>
      </c>
      <c r="G4" s="28">
        <v>1</v>
      </c>
      <c r="H4" s="11" t="s">
        <v>100</v>
      </c>
      <c r="I4" s="10"/>
      <c r="J4" s="10"/>
      <c r="K4" s="28" cm="1">
        <f t="array" ref="K4">J4*F4</f>
        <v>0</v>
      </c>
      <c r="L4" s="30">
        <v>12</v>
      </c>
      <c r="M4" s="30" cm="1">
        <f t="array" ref="M4">L4*G4*F4</f>
        <v>12</v>
      </c>
    </row>
    <row r="5" spans="1:13" ht="20" customHeight="1" x14ac:dyDescent="0.15">
      <c r="A5" s="59"/>
      <c r="B5" s="9" t="s">
        <v>75</v>
      </c>
      <c r="C5" s="10"/>
      <c r="D5" s="10"/>
      <c r="E5" s="10"/>
      <c r="F5" s="28">
        <v>6</v>
      </c>
      <c r="G5" s="28">
        <v>3</v>
      </c>
      <c r="H5" s="11" t="s">
        <v>99</v>
      </c>
      <c r="I5" s="10"/>
      <c r="J5" s="10"/>
      <c r="K5" s="28" cm="1">
        <f t="array" ref="K5">J5*F5</f>
        <v>0</v>
      </c>
      <c r="L5" s="30">
        <v>12</v>
      </c>
      <c r="M5" s="30" cm="1">
        <f t="array" ref="M5">L5*G5*F5</f>
        <v>216</v>
      </c>
    </row>
    <row r="6" spans="1:13" ht="20" customHeight="1" x14ac:dyDescent="0.15">
      <c r="A6" s="59"/>
      <c r="B6" s="9" t="s">
        <v>76</v>
      </c>
      <c r="C6" s="10"/>
      <c r="D6" s="10"/>
      <c r="E6" s="10"/>
      <c r="F6" s="28">
        <v>2</v>
      </c>
      <c r="G6" s="28">
        <v>3</v>
      </c>
      <c r="H6" s="11" t="s">
        <v>99</v>
      </c>
      <c r="I6" s="10"/>
      <c r="J6" s="10"/>
      <c r="K6" s="28" cm="1">
        <f t="array" ref="K6">J6*F6</f>
        <v>0</v>
      </c>
      <c r="L6" s="30">
        <v>12</v>
      </c>
      <c r="M6" s="30" cm="1">
        <f t="array" ref="M6">L6*G6*F6</f>
        <v>72</v>
      </c>
    </row>
    <row r="7" spans="1:13" ht="20" customHeight="1" x14ac:dyDescent="0.15">
      <c r="A7" s="59"/>
      <c r="B7" s="9" t="s">
        <v>77</v>
      </c>
      <c r="C7" s="10"/>
      <c r="D7" s="10"/>
      <c r="E7" s="10"/>
      <c r="F7" s="28">
        <v>1</v>
      </c>
      <c r="G7" s="28">
        <v>5</v>
      </c>
      <c r="H7" s="11" t="s">
        <v>99</v>
      </c>
      <c r="I7" s="10"/>
      <c r="J7" s="10"/>
      <c r="K7" s="28" cm="1">
        <f t="array" ref="K7">J7*F7</f>
        <v>0</v>
      </c>
      <c r="L7" s="30">
        <v>12</v>
      </c>
      <c r="M7" s="30" cm="1">
        <f t="array" ref="M7">L7*G7*F7</f>
        <v>60</v>
      </c>
    </row>
    <row r="8" spans="1:13" ht="20" customHeight="1" x14ac:dyDescent="0.15">
      <c r="A8" s="59"/>
      <c r="B8" s="9" t="s">
        <v>78</v>
      </c>
      <c r="C8" s="10"/>
      <c r="D8" s="10"/>
      <c r="E8" s="10"/>
      <c r="F8" s="28">
        <v>1</v>
      </c>
      <c r="G8" s="28">
        <v>5</v>
      </c>
      <c r="H8" s="11" t="s">
        <v>99</v>
      </c>
      <c r="I8" s="10"/>
      <c r="J8" s="10"/>
      <c r="K8" s="28" cm="1">
        <f t="array" ref="K8">J8*F8</f>
        <v>0</v>
      </c>
      <c r="L8" s="30">
        <v>12</v>
      </c>
      <c r="M8" s="30" cm="1">
        <f t="array" ref="M8">L8*G8*F8</f>
        <v>60</v>
      </c>
    </row>
    <row r="9" spans="1:13" ht="20" customHeight="1" x14ac:dyDescent="0.15">
      <c r="A9" s="59"/>
      <c r="B9" s="9" t="s">
        <v>105</v>
      </c>
      <c r="C9" s="10"/>
      <c r="D9" s="10"/>
      <c r="E9" s="10"/>
      <c r="F9" s="28">
        <v>2</v>
      </c>
      <c r="G9" s="10"/>
      <c r="H9" s="10"/>
      <c r="I9" s="10"/>
      <c r="J9" s="10"/>
      <c r="K9" s="28" cm="1">
        <f t="array" ref="K9">J9*F9</f>
        <v>0</v>
      </c>
      <c r="L9" s="30">
        <v>12</v>
      </c>
      <c r="M9" s="30" cm="1">
        <f t="array" ref="M9">L9*G9*F9</f>
        <v>0</v>
      </c>
    </row>
    <row r="10" spans="1:13" ht="20" customHeight="1" x14ac:dyDescent="0.15">
      <c r="A10" s="59"/>
      <c r="B10" s="9" t="s">
        <v>88</v>
      </c>
      <c r="C10" s="10"/>
      <c r="D10" s="10"/>
      <c r="E10" s="10"/>
      <c r="F10" s="28">
        <v>4</v>
      </c>
      <c r="G10" s="10"/>
      <c r="H10" s="10"/>
      <c r="I10" s="10"/>
      <c r="J10" s="10"/>
      <c r="K10" s="28" cm="1">
        <f t="array" ref="K10">J10*F10</f>
        <v>0</v>
      </c>
      <c r="L10" s="30">
        <v>12</v>
      </c>
      <c r="M10" s="30" cm="1">
        <f t="array" ref="M10">L10*G10*F10</f>
        <v>0</v>
      </c>
    </row>
    <row r="11" spans="1:13" ht="20" customHeight="1" x14ac:dyDescent="0.15">
      <c r="A11" s="58" t="s">
        <v>79</v>
      </c>
      <c r="B11" s="9" t="s">
        <v>80</v>
      </c>
      <c r="C11" s="10"/>
      <c r="D11" s="10"/>
      <c r="E11" s="10"/>
      <c r="F11" s="28">
        <v>1</v>
      </c>
      <c r="G11" s="28">
        <v>8</v>
      </c>
      <c r="H11" s="11" t="s">
        <v>99</v>
      </c>
      <c r="I11" s="10"/>
      <c r="J11" s="10"/>
      <c r="K11" s="28" cm="1">
        <f t="array" ref="K11">J11*F11</f>
        <v>0</v>
      </c>
      <c r="L11" s="30">
        <v>12</v>
      </c>
      <c r="M11" s="30" cm="1">
        <f t="array" ref="M11">L11*G11*F11</f>
        <v>96</v>
      </c>
    </row>
    <row r="12" spans="1:13" ht="20" customHeight="1" x14ac:dyDescent="0.15">
      <c r="A12" s="59"/>
      <c r="B12" s="9" t="s">
        <v>81</v>
      </c>
      <c r="C12" s="10"/>
      <c r="D12" s="10"/>
      <c r="E12" s="10"/>
      <c r="F12" s="28">
        <v>2</v>
      </c>
      <c r="G12" s="28">
        <v>3</v>
      </c>
      <c r="H12" s="11" t="s">
        <v>100</v>
      </c>
      <c r="I12" s="10"/>
      <c r="J12" s="10"/>
      <c r="K12" s="28" cm="1">
        <f t="array" ref="K12">J12*F12</f>
        <v>0</v>
      </c>
      <c r="L12" s="30">
        <v>12</v>
      </c>
      <c r="M12" s="30" cm="1">
        <f t="array" ref="M12">L12*G12*F12</f>
        <v>72</v>
      </c>
    </row>
    <row r="13" spans="1:13" ht="20" customHeight="1" x14ac:dyDescent="0.15">
      <c r="A13" s="59"/>
      <c r="B13" s="9" t="s">
        <v>82</v>
      </c>
      <c r="C13" s="10"/>
      <c r="D13" s="10"/>
      <c r="E13" s="10"/>
      <c r="F13" s="28">
        <v>1</v>
      </c>
      <c r="G13" s="28">
        <v>30</v>
      </c>
      <c r="H13" s="11" t="s">
        <v>99</v>
      </c>
      <c r="I13" s="10"/>
      <c r="J13" s="10"/>
      <c r="K13" s="28" cm="1">
        <f t="array" ref="K13">J13*F13</f>
        <v>0</v>
      </c>
      <c r="L13" s="30">
        <v>12</v>
      </c>
      <c r="M13" s="30" cm="1">
        <f t="array" ref="M13">L13*G13*F13</f>
        <v>360</v>
      </c>
    </row>
    <row r="14" spans="1:13" ht="20" customHeight="1" x14ac:dyDescent="0.15">
      <c r="A14" s="59"/>
      <c r="B14" s="9" t="s">
        <v>83</v>
      </c>
      <c r="C14" s="10"/>
      <c r="D14" s="10"/>
      <c r="E14" s="10"/>
      <c r="F14" s="28">
        <v>1</v>
      </c>
      <c r="G14" s="28">
        <v>30</v>
      </c>
      <c r="H14" s="11" t="s">
        <v>100</v>
      </c>
      <c r="I14" s="10"/>
      <c r="J14" s="10"/>
      <c r="K14" s="28" cm="1">
        <f t="array" ref="K14">J14*F14</f>
        <v>0</v>
      </c>
      <c r="L14" s="30">
        <v>12</v>
      </c>
      <c r="M14" s="30" cm="1">
        <f t="array" ref="M14">L14*G14*F14</f>
        <v>360</v>
      </c>
    </row>
    <row r="15" spans="1:13" ht="20" customHeight="1" x14ac:dyDescent="0.15">
      <c r="A15" s="59"/>
      <c r="B15" s="9" t="s">
        <v>84</v>
      </c>
      <c r="C15" s="10"/>
      <c r="D15" s="10"/>
      <c r="E15" s="10"/>
      <c r="F15" s="28">
        <v>1</v>
      </c>
      <c r="G15" s="28">
        <v>20</v>
      </c>
      <c r="H15" s="11" t="s">
        <v>99</v>
      </c>
      <c r="I15" s="10"/>
      <c r="J15" s="10"/>
      <c r="K15" s="28" cm="1">
        <f t="array" ref="K15">J15*F15</f>
        <v>0</v>
      </c>
      <c r="L15" s="30">
        <v>12</v>
      </c>
      <c r="M15" s="30" cm="1">
        <f t="array" ref="M15">L15*G15*F15</f>
        <v>240</v>
      </c>
    </row>
    <row r="16" spans="1:13" ht="20" customHeight="1" x14ac:dyDescent="0.15">
      <c r="A16" s="59"/>
      <c r="B16" s="9" t="s">
        <v>68</v>
      </c>
      <c r="C16" s="10"/>
      <c r="D16" s="10"/>
      <c r="E16" s="10"/>
      <c r="F16" s="28">
        <v>2</v>
      </c>
      <c r="G16" s="10"/>
      <c r="H16" s="10"/>
      <c r="I16" s="10"/>
      <c r="J16" s="10"/>
      <c r="K16" s="28" cm="1">
        <f t="array" ref="K16">J16*F16</f>
        <v>0</v>
      </c>
      <c r="L16" s="30">
        <v>12</v>
      </c>
      <c r="M16" s="30" cm="1">
        <f t="array" ref="M16">L16*G16*F16</f>
        <v>0</v>
      </c>
    </row>
    <row r="17" spans="1:13" ht="20" customHeight="1" x14ac:dyDescent="0.15">
      <c r="A17" s="60"/>
      <c r="B17" s="9" t="s">
        <v>85</v>
      </c>
      <c r="C17" s="10"/>
      <c r="D17" s="10"/>
      <c r="E17" s="10"/>
      <c r="F17" s="28">
        <v>1</v>
      </c>
      <c r="G17" s="28">
        <v>5</v>
      </c>
      <c r="H17" s="10"/>
      <c r="I17" s="10"/>
      <c r="J17" s="10"/>
      <c r="K17" s="28" cm="1">
        <f t="array" ref="K17">J17*F17</f>
        <v>0</v>
      </c>
      <c r="L17" s="30">
        <v>12</v>
      </c>
      <c r="M17" s="30" cm="1">
        <f t="array" ref="M17">L17*G17*F17</f>
        <v>60</v>
      </c>
    </row>
    <row r="18" spans="1:13" ht="20" customHeight="1" x14ac:dyDescent="0.15">
      <c r="A18" s="59"/>
      <c r="B18" s="9" t="s">
        <v>88</v>
      </c>
      <c r="C18" s="10"/>
      <c r="D18" s="10"/>
      <c r="E18" s="10"/>
      <c r="F18" s="28">
        <v>4</v>
      </c>
      <c r="G18" s="10"/>
      <c r="H18" s="10"/>
      <c r="I18" s="10"/>
      <c r="J18" s="10"/>
      <c r="K18" s="28" cm="1">
        <f t="array" ref="K18">J18*F18</f>
        <v>0</v>
      </c>
      <c r="L18" s="30">
        <v>12</v>
      </c>
      <c r="M18" s="30" cm="1">
        <f t="array" ref="M18">L18*G18*F18</f>
        <v>0</v>
      </c>
    </row>
    <row r="19" spans="1:13" ht="20" customHeight="1" x14ac:dyDescent="0.15">
      <c r="A19" s="42"/>
      <c r="B19" s="9" t="s">
        <v>105</v>
      </c>
      <c r="C19" s="10"/>
      <c r="D19" s="10"/>
      <c r="E19" s="10"/>
      <c r="F19" s="28">
        <v>2</v>
      </c>
      <c r="G19" s="10"/>
      <c r="H19" s="10"/>
      <c r="I19" s="10"/>
      <c r="J19" s="10"/>
      <c r="K19" s="28" cm="1">
        <f t="array" ref="K19">J19*F19</f>
        <v>0</v>
      </c>
      <c r="L19" s="24">
        <v>12</v>
      </c>
      <c r="M19" s="24" cm="1">
        <f t="array" ref="M19">L19*G19*F19</f>
        <v>0</v>
      </c>
    </row>
    <row r="20" spans="1:13" ht="20" customHeight="1" x14ac:dyDescent="0.15">
      <c r="A20" s="12" t="s">
        <v>90</v>
      </c>
      <c r="B20" s="33"/>
      <c r="C20" s="10"/>
      <c r="D20" s="10"/>
      <c r="E20" s="10"/>
      <c r="F20" s="10"/>
      <c r="G20" s="10"/>
      <c r="H20" s="10"/>
      <c r="I20" s="10"/>
      <c r="J20" s="10"/>
      <c r="K20" s="28" cm="1">
        <f t="array" ref="K20">SUM(K3:K19)</f>
        <v>0</v>
      </c>
      <c r="L20" s="10"/>
      <c r="M20" s="28" cm="1">
        <f t="array" ref="M20">M19+M18+M16+M15+M14+M13+M12+M11+M10+M9+M8+M7+M6+M5+M4+M3+M17</f>
        <v>1620</v>
      </c>
    </row>
    <row r="21" spans="1:13" ht="32.75" customHeight="1" x14ac:dyDescent="0.15">
      <c r="A21" s="12" t="s">
        <v>106</v>
      </c>
      <c r="B21" s="33"/>
      <c r="C21" s="10"/>
      <c r="D21" s="10"/>
      <c r="E21" s="10"/>
      <c r="F21" s="10"/>
      <c r="G21" s="10"/>
      <c r="H21" s="10"/>
      <c r="I21" s="10"/>
      <c r="J21" s="10"/>
      <c r="K21" s="28">
        <v>2000</v>
      </c>
      <c r="L21" s="10"/>
      <c r="M21" s="10"/>
    </row>
    <row r="22" spans="1:13" ht="20" customHeight="1" x14ac:dyDescent="0.15">
      <c r="A22" s="12" t="s">
        <v>107</v>
      </c>
      <c r="B22" s="33"/>
      <c r="C22" s="10"/>
      <c r="D22" s="10"/>
      <c r="E22" s="10"/>
      <c r="F22" s="10"/>
      <c r="G22" s="10"/>
      <c r="H22" s="10"/>
      <c r="I22" s="10"/>
      <c r="J22" s="10"/>
      <c r="K22" s="19" cm="1">
        <f t="array" ref="K22">K20/K21</f>
        <v>0</v>
      </c>
      <c r="L22" s="19"/>
      <c r="M22" s="19"/>
    </row>
    <row r="23" spans="1:13" ht="32" customHeight="1" x14ac:dyDescent="0.15">
      <c r="A23" s="12" t="s">
        <v>108</v>
      </c>
      <c r="B23" s="9" t="s">
        <v>109</v>
      </c>
      <c r="C23" s="10"/>
      <c r="D23" s="10"/>
      <c r="E23" s="10"/>
      <c r="F23" s="28">
        <v>2</v>
      </c>
      <c r="G23" s="11" t="s">
        <v>110</v>
      </c>
      <c r="H23" s="11" t="s">
        <v>99</v>
      </c>
      <c r="I23" s="11" t="s">
        <v>115</v>
      </c>
      <c r="J23" s="28">
        <v>100</v>
      </c>
      <c r="K23" s="10"/>
      <c r="L23" s="10"/>
      <c r="M23" s="10"/>
    </row>
  </sheetData>
  <mergeCells count="3">
    <mergeCell ref="A1:K1"/>
    <mergeCell ref="A3:A10"/>
    <mergeCell ref="A11:A18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8"/>
  <sheetViews>
    <sheetView showGridLines="0" workbookViewId="0">
      <selection sqref="A1:G1"/>
    </sheetView>
  </sheetViews>
  <sheetFormatPr baseColWidth="10" defaultColWidth="16.33203125" defaultRowHeight="20" customHeight="1" x14ac:dyDescent="0.15"/>
  <cols>
    <col min="1" max="2" width="16.33203125" style="1" customWidth="1"/>
    <col min="3" max="3" width="10.6640625" style="1" customWidth="1"/>
    <col min="4" max="5" width="13.5" style="1" customWidth="1"/>
    <col min="6" max="7" width="14.5" style="1" customWidth="1"/>
    <col min="8" max="8" width="16.33203125" style="1" customWidth="1"/>
    <col min="9" max="16384" width="16.33203125" style="1"/>
  </cols>
  <sheetData>
    <row r="1" spans="1:7" ht="27.75" customHeight="1" x14ac:dyDescent="0.15">
      <c r="A1" s="63" t="s">
        <v>118</v>
      </c>
      <c r="B1" s="56"/>
      <c r="C1" s="56"/>
      <c r="D1" s="56"/>
      <c r="E1" s="56"/>
      <c r="F1" s="56"/>
      <c r="G1" s="64"/>
    </row>
    <row r="2" spans="1:7" ht="20.25" customHeight="1" x14ac:dyDescent="0.15">
      <c r="A2" s="43" t="s">
        <v>119</v>
      </c>
      <c r="B2" s="43" t="s">
        <v>120</v>
      </c>
      <c r="C2" s="43" t="s">
        <v>121</v>
      </c>
      <c r="D2" s="43" t="s">
        <v>122</v>
      </c>
      <c r="E2" s="43" t="s">
        <v>24</v>
      </c>
      <c r="F2" s="43" t="s">
        <v>123</v>
      </c>
      <c r="G2" s="43" t="s">
        <v>124</v>
      </c>
    </row>
    <row r="3" spans="1:7" ht="20.25" customHeight="1" x14ac:dyDescent="0.15">
      <c r="A3" s="44" t="s">
        <v>125</v>
      </c>
      <c r="B3" s="45" t="s">
        <v>9</v>
      </c>
      <c r="C3" s="46" cm="1">
        <f t="array" ref="C3">(D3+E3+F3)/G3</f>
        <v>0.1</v>
      </c>
      <c r="D3" s="47">
        <v>74</v>
      </c>
      <c r="E3" s="48"/>
      <c r="F3" s="48"/>
      <c r="G3" s="47">
        <v>740</v>
      </c>
    </row>
    <row r="4" spans="1:7" ht="20" customHeight="1" x14ac:dyDescent="0.15">
      <c r="A4" s="49" t="s">
        <v>126</v>
      </c>
      <c r="B4" s="50" t="s">
        <v>127</v>
      </c>
      <c r="C4" s="51" cm="1">
        <f t="array" ref="C4">(D4+E4+F4)/G4</f>
        <v>3.3783783783783786E-2</v>
      </c>
      <c r="D4" s="52"/>
      <c r="E4" s="53">
        <v>25</v>
      </c>
      <c r="F4" s="52"/>
      <c r="G4" s="53">
        <v>740</v>
      </c>
    </row>
    <row r="5" spans="1:7" ht="20" customHeight="1" x14ac:dyDescent="0.15">
      <c r="A5" s="13"/>
      <c r="B5" s="50" t="s">
        <v>128</v>
      </c>
      <c r="C5" s="51" cm="1">
        <f t="array" ref="C5">(D5+E5+F5)/G5</f>
        <v>1.6216216216216217E-2</v>
      </c>
      <c r="D5" s="53">
        <v>12</v>
      </c>
      <c r="E5" s="52"/>
      <c r="F5" s="52"/>
      <c r="G5" s="53">
        <v>740</v>
      </c>
    </row>
    <row r="6" spans="1:7" ht="20" customHeight="1" x14ac:dyDescent="0.15">
      <c r="A6" s="13"/>
      <c r="B6" s="50" t="s">
        <v>88</v>
      </c>
      <c r="C6" s="51" cm="1">
        <f t="array" ref="C6">(D6+E6+F6)/G6</f>
        <v>3.1081081081081083E-2</v>
      </c>
      <c r="D6" s="53">
        <v>23</v>
      </c>
      <c r="E6" s="52"/>
      <c r="F6" s="52"/>
      <c r="G6" s="53">
        <v>740</v>
      </c>
    </row>
    <row r="7" spans="1:7" ht="20" customHeight="1" x14ac:dyDescent="0.15">
      <c r="A7" s="13"/>
      <c r="B7" s="50" t="s">
        <v>129</v>
      </c>
      <c r="C7" s="51" cm="1">
        <f t="array" ref="C7">(D7+E7+F7)/G7</f>
        <v>0.30405405405405406</v>
      </c>
      <c r="D7" s="53">
        <v>225</v>
      </c>
      <c r="E7" s="52"/>
      <c r="F7" s="52"/>
      <c r="G7" s="53">
        <v>740</v>
      </c>
    </row>
    <row r="8" spans="1:7" ht="20" customHeight="1" x14ac:dyDescent="0.15">
      <c r="A8" s="13"/>
      <c r="B8" s="50" t="s">
        <v>130</v>
      </c>
      <c r="C8" s="51" cm="1">
        <f t="array" ref="C8">(D8+E8+F8)/G8</f>
        <v>0.30540540540540539</v>
      </c>
      <c r="D8" s="53">
        <v>226</v>
      </c>
      <c r="E8" s="52"/>
      <c r="F8" s="52"/>
      <c r="G8" s="53">
        <v>740</v>
      </c>
    </row>
    <row r="9" spans="1:7" ht="20" customHeight="1" x14ac:dyDescent="0.15">
      <c r="A9" s="13"/>
      <c r="B9" s="50" t="s">
        <v>131</v>
      </c>
      <c r="C9" s="51" cm="1">
        <f t="array" ref="C9">(D9+E9+F9)/G9</f>
        <v>0.20945945945945946</v>
      </c>
      <c r="D9" s="53" cm="1">
        <f t="array" ref="D9">G3-(D8+D7+D6+D5+E4+D3)</f>
        <v>155</v>
      </c>
      <c r="E9" s="52"/>
      <c r="F9" s="52"/>
      <c r="G9" s="53">
        <v>740</v>
      </c>
    </row>
    <row r="10" spans="1:7" ht="20" customHeight="1" x14ac:dyDescent="0.15">
      <c r="A10" s="49" t="s">
        <v>132</v>
      </c>
      <c r="B10" s="54"/>
      <c r="C10" s="51" cm="1">
        <f t="array" ref="C10">(D10+E10+F10)/G10</f>
        <v>1</v>
      </c>
      <c r="D10" s="53">
        <v>1</v>
      </c>
      <c r="E10" s="52"/>
      <c r="F10" s="52"/>
      <c r="G10" s="53">
        <v>1</v>
      </c>
    </row>
    <row r="11" spans="1:7" ht="20" customHeight="1" x14ac:dyDescent="0.15">
      <c r="A11" s="13"/>
      <c r="B11" s="54"/>
      <c r="C11" s="51" cm="1">
        <f t="array" ref="C11">(D11+E11+F11)/G11</f>
        <v>1</v>
      </c>
      <c r="D11" s="53">
        <v>1</v>
      </c>
      <c r="E11" s="52"/>
      <c r="F11" s="52"/>
      <c r="G11" s="53">
        <v>1</v>
      </c>
    </row>
    <row r="12" spans="1:7" ht="20" customHeight="1" x14ac:dyDescent="0.15">
      <c r="A12" s="13"/>
      <c r="B12" s="54"/>
      <c r="C12" s="51" cm="1">
        <f t="array" ref="C12">(D12+E12+F12)/G12</f>
        <v>1</v>
      </c>
      <c r="D12" s="53">
        <v>1</v>
      </c>
      <c r="E12" s="52"/>
      <c r="F12" s="52"/>
      <c r="G12" s="53">
        <v>1</v>
      </c>
    </row>
    <row r="13" spans="1:7" ht="20" customHeight="1" x14ac:dyDescent="0.15">
      <c r="A13" s="49" t="s">
        <v>133</v>
      </c>
      <c r="B13" s="54"/>
      <c r="C13" s="51" cm="1">
        <f t="array" ref="C13">(D13+E13+F13)/G13</f>
        <v>1</v>
      </c>
      <c r="D13" s="53">
        <v>1</v>
      </c>
      <c r="E13" s="52"/>
      <c r="F13" s="52"/>
      <c r="G13" s="53">
        <v>1</v>
      </c>
    </row>
    <row r="14" spans="1:7" ht="20" customHeight="1" x14ac:dyDescent="0.15">
      <c r="A14" s="13"/>
      <c r="B14" s="54"/>
      <c r="C14" s="51" cm="1">
        <f t="array" ref="C14">(D14+E14+F14)/G14</f>
        <v>1</v>
      </c>
      <c r="D14" s="53">
        <v>1</v>
      </c>
      <c r="E14" s="52"/>
      <c r="F14" s="52"/>
      <c r="G14" s="53">
        <v>1</v>
      </c>
    </row>
    <row r="15" spans="1:7" ht="20" customHeight="1" x14ac:dyDescent="0.15">
      <c r="A15" s="13"/>
      <c r="B15" s="54"/>
      <c r="C15" s="51" cm="1">
        <f t="array" ref="C15">(D15+E15+F15)/G15</f>
        <v>1</v>
      </c>
      <c r="D15" s="53">
        <v>1</v>
      </c>
      <c r="E15" s="52"/>
      <c r="F15" s="52"/>
      <c r="G15" s="53">
        <v>1</v>
      </c>
    </row>
    <row r="16" spans="1:7" ht="20" customHeight="1" x14ac:dyDescent="0.15">
      <c r="A16" s="49" t="s">
        <v>134</v>
      </c>
      <c r="B16" s="54"/>
      <c r="C16" s="51" cm="1">
        <f t="array" ref="C16">(D16+E16+F16)/G16</f>
        <v>1</v>
      </c>
      <c r="D16" s="53">
        <v>1</v>
      </c>
      <c r="E16" s="52"/>
      <c r="F16" s="52"/>
      <c r="G16" s="53">
        <v>1</v>
      </c>
    </row>
    <row r="17" spans="1:7" ht="20" customHeight="1" x14ac:dyDescent="0.15">
      <c r="A17" s="13"/>
      <c r="B17" s="54"/>
      <c r="C17" s="51" cm="1">
        <f t="array" ref="C17">(D17+E17+F17)/G17</f>
        <v>1</v>
      </c>
      <c r="D17" s="53">
        <v>1</v>
      </c>
      <c r="E17" s="52"/>
      <c r="F17" s="52"/>
      <c r="G17" s="53">
        <v>1</v>
      </c>
    </row>
    <row r="18" spans="1:7" ht="20" customHeight="1" x14ac:dyDescent="0.15">
      <c r="A18" s="13"/>
      <c r="B18" s="54"/>
      <c r="C18" s="51" cm="1">
        <f t="array" ref="C18">(D18+E18+F18)/G18</f>
        <v>1</v>
      </c>
      <c r="D18" s="53">
        <v>1</v>
      </c>
      <c r="E18" s="52"/>
      <c r="F18" s="52"/>
      <c r="G18" s="53">
        <v>1</v>
      </c>
    </row>
    <row r="19" spans="1:7" ht="20" customHeight="1" x14ac:dyDescent="0.15">
      <c r="A19" s="49" t="s">
        <v>86</v>
      </c>
      <c r="B19" s="54"/>
      <c r="C19" s="51" cm="1">
        <f t="array" ref="C19">(D19+E19+F19)/G19</f>
        <v>1</v>
      </c>
      <c r="D19" s="53">
        <v>1</v>
      </c>
      <c r="E19" s="52"/>
      <c r="F19" s="52"/>
      <c r="G19" s="53">
        <v>1</v>
      </c>
    </row>
    <row r="20" spans="1:7" ht="20" customHeight="1" x14ac:dyDescent="0.15">
      <c r="A20" s="13"/>
      <c r="B20" s="54"/>
      <c r="C20" s="51" cm="1">
        <f t="array" ref="C20">(D20+E20+F20)/G20</f>
        <v>1</v>
      </c>
      <c r="D20" s="53">
        <v>1</v>
      </c>
      <c r="E20" s="52"/>
      <c r="F20" s="52"/>
      <c r="G20" s="53">
        <v>1</v>
      </c>
    </row>
    <row r="21" spans="1:7" ht="20" customHeight="1" x14ac:dyDescent="0.15">
      <c r="A21" s="13"/>
      <c r="B21" s="54"/>
      <c r="C21" s="51" cm="1">
        <f t="array" ref="C21">(D21+E21+F21)/G21</f>
        <v>1</v>
      </c>
      <c r="D21" s="53">
        <v>1</v>
      </c>
      <c r="E21" s="52"/>
      <c r="F21" s="52"/>
      <c r="G21" s="53">
        <v>1</v>
      </c>
    </row>
    <row r="22" spans="1:7" ht="20" customHeight="1" x14ac:dyDescent="0.15">
      <c r="A22" s="49" t="s">
        <v>135</v>
      </c>
      <c r="B22" s="54"/>
      <c r="C22" s="51" cm="1">
        <f t="array" ref="C22">(D22+E22+F22)/G22</f>
        <v>1</v>
      </c>
      <c r="D22" s="53">
        <v>1</v>
      </c>
      <c r="E22" s="52"/>
      <c r="F22" s="52"/>
      <c r="G22" s="53">
        <v>1</v>
      </c>
    </row>
    <row r="23" spans="1:7" ht="20" customHeight="1" x14ac:dyDescent="0.15">
      <c r="A23" s="13"/>
      <c r="B23" s="54"/>
      <c r="C23" s="51" cm="1">
        <f t="array" ref="C23">(D23+E23+F23)/G23</f>
        <v>1</v>
      </c>
      <c r="D23" s="53">
        <v>1</v>
      </c>
      <c r="E23" s="52"/>
      <c r="F23" s="52"/>
      <c r="G23" s="53">
        <v>1</v>
      </c>
    </row>
    <row r="24" spans="1:7" ht="20" customHeight="1" x14ac:dyDescent="0.15">
      <c r="A24" s="13"/>
      <c r="B24" s="54"/>
      <c r="C24" s="51" cm="1">
        <f t="array" ref="C24">(D24+E24+F24)/G24</f>
        <v>1</v>
      </c>
      <c r="D24" s="53">
        <v>1</v>
      </c>
      <c r="E24" s="52"/>
      <c r="F24" s="52"/>
      <c r="G24" s="53">
        <v>1</v>
      </c>
    </row>
    <row r="25" spans="1:7" ht="20" customHeight="1" x14ac:dyDescent="0.15">
      <c r="A25" s="49" t="s">
        <v>136</v>
      </c>
      <c r="B25" s="54"/>
      <c r="C25" s="51" cm="1">
        <f t="array" ref="C25">(D25+E25+F25)/G25</f>
        <v>1</v>
      </c>
      <c r="D25" s="53">
        <v>1</v>
      </c>
      <c r="E25" s="52"/>
      <c r="F25" s="52"/>
      <c r="G25" s="53">
        <v>1</v>
      </c>
    </row>
    <row r="26" spans="1:7" ht="20" customHeight="1" x14ac:dyDescent="0.15">
      <c r="A26" s="13"/>
      <c r="B26" s="54"/>
      <c r="C26" s="51" cm="1">
        <f t="array" ref="C26">(D26+E26+F26)/G26</f>
        <v>1</v>
      </c>
      <c r="D26" s="53">
        <v>1</v>
      </c>
      <c r="E26" s="52"/>
      <c r="F26" s="52"/>
      <c r="G26" s="53">
        <v>1</v>
      </c>
    </row>
    <row r="27" spans="1:7" ht="20" customHeight="1" x14ac:dyDescent="0.15">
      <c r="A27" s="13"/>
      <c r="B27" s="54"/>
      <c r="C27" s="51" cm="1">
        <f t="array" ref="C27">(D27+E27+F27)/G27</f>
        <v>1</v>
      </c>
      <c r="D27" s="53">
        <v>1</v>
      </c>
      <c r="E27" s="52"/>
      <c r="F27" s="52"/>
      <c r="G27" s="53">
        <v>1</v>
      </c>
    </row>
    <row r="28" spans="1:7" ht="20" customHeight="1" x14ac:dyDescent="0.15">
      <c r="A28" s="49" t="s">
        <v>123</v>
      </c>
      <c r="B28" s="54"/>
      <c r="C28" s="51" cm="1">
        <f t="array" ref="C28">(D28+E28+F28)/G28</f>
        <v>1</v>
      </c>
      <c r="D28" s="53">
        <v>1</v>
      </c>
      <c r="E28" s="52"/>
      <c r="F28" s="52"/>
      <c r="G28" s="53">
        <v>1</v>
      </c>
    </row>
    <row r="29" spans="1:7" ht="20" customHeight="1" x14ac:dyDescent="0.15">
      <c r="A29" s="13"/>
      <c r="B29" s="54"/>
      <c r="C29" s="51" cm="1">
        <f t="array" ref="C29">(D29+E29+F29)/G29</f>
        <v>1</v>
      </c>
      <c r="D29" s="53">
        <v>1</v>
      </c>
      <c r="E29" s="52"/>
      <c r="F29" s="52"/>
      <c r="G29" s="53">
        <v>1</v>
      </c>
    </row>
    <row r="30" spans="1:7" ht="20" customHeight="1" x14ac:dyDescent="0.15">
      <c r="A30" s="13"/>
      <c r="B30" s="54"/>
      <c r="C30" s="51" cm="1">
        <f t="array" ref="C30">(D30+E30+F30)/G30</f>
        <v>1</v>
      </c>
      <c r="D30" s="53">
        <v>1</v>
      </c>
      <c r="E30" s="52"/>
      <c r="F30" s="52"/>
      <c r="G30" s="53">
        <v>1</v>
      </c>
    </row>
    <row r="31" spans="1:7" ht="20" customHeight="1" x14ac:dyDescent="0.15">
      <c r="A31" s="49" t="s">
        <v>137</v>
      </c>
      <c r="B31" s="54"/>
      <c r="C31" s="51" cm="1">
        <f t="array" ref="C31">(D31+E31+F31)/G31</f>
        <v>1</v>
      </c>
      <c r="D31" s="53">
        <v>1</v>
      </c>
      <c r="E31" s="52"/>
      <c r="F31" s="52"/>
      <c r="G31" s="53">
        <v>1</v>
      </c>
    </row>
    <row r="32" spans="1:7" ht="20" customHeight="1" x14ac:dyDescent="0.15">
      <c r="A32" s="13"/>
      <c r="B32" s="54"/>
      <c r="C32" s="51" cm="1">
        <f t="array" ref="C32">(D32+E32+F32)/G32</f>
        <v>1</v>
      </c>
      <c r="D32" s="53">
        <v>1</v>
      </c>
      <c r="E32" s="52"/>
      <c r="F32" s="52"/>
      <c r="G32" s="53">
        <v>1</v>
      </c>
    </row>
    <row r="33" spans="1:7" ht="20" customHeight="1" x14ac:dyDescent="0.15">
      <c r="A33" s="13"/>
      <c r="B33" s="54"/>
      <c r="C33" s="51" cm="1">
        <f t="array" ref="C33">(D33+E33+F33)/G33</f>
        <v>1</v>
      </c>
      <c r="D33" s="53">
        <v>1</v>
      </c>
      <c r="E33" s="52"/>
      <c r="F33" s="52"/>
      <c r="G33" s="53">
        <v>1</v>
      </c>
    </row>
    <row r="34" spans="1:7" ht="20" customHeight="1" x14ac:dyDescent="0.15">
      <c r="A34" s="49" t="s">
        <v>138</v>
      </c>
      <c r="B34" s="54"/>
      <c r="C34" s="51" cm="1">
        <f t="array" ref="C34">(D34+E34+F34)/G34</f>
        <v>1</v>
      </c>
      <c r="D34" s="53">
        <v>1</v>
      </c>
      <c r="E34" s="52"/>
      <c r="F34" s="52"/>
      <c r="G34" s="53">
        <v>1</v>
      </c>
    </row>
    <row r="35" spans="1:7" ht="20" customHeight="1" x14ac:dyDescent="0.15">
      <c r="A35" s="13"/>
      <c r="B35" s="54"/>
      <c r="C35" s="51" cm="1">
        <f t="array" ref="C35">(D35+E35+F35)/G35</f>
        <v>1</v>
      </c>
      <c r="D35" s="53">
        <v>1</v>
      </c>
      <c r="E35" s="52"/>
      <c r="F35" s="52"/>
      <c r="G35" s="53">
        <v>1</v>
      </c>
    </row>
    <row r="36" spans="1:7" ht="20" customHeight="1" x14ac:dyDescent="0.15">
      <c r="A36" s="13"/>
      <c r="B36" s="54"/>
      <c r="C36" s="51" cm="1">
        <f t="array" ref="C36">(D36+E36+F36)/G36</f>
        <v>1</v>
      </c>
      <c r="D36" s="53">
        <v>1</v>
      </c>
      <c r="E36" s="52"/>
      <c r="F36" s="52"/>
      <c r="G36" s="53">
        <v>1</v>
      </c>
    </row>
    <row r="37" spans="1:7" ht="20" customHeight="1" x14ac:dyDescent="0.15">
      <c r="A37" s="49" t="s">
        <v>139</v>
      </c>
      <c r="B37" s="54"/>
      <c r="C37" s="51" cm="1">
        <f t="array" ref="C37">(D37+E37+F37)/G37</f>
        <v>1</v>
      </c>
      <c r="D37" s="53">
        <v>1</v>
      </c>
      <c r="E37" s="52"/>
      <c r="F37" s="52"/>
      <c r="G37" s="53">
        <v>1</v>
      </c>
    </row>
    <row r="38" spans="1:7" ht="20" customHeight="1" x14ac:dyDescent="0.15">
      <c r="A38" s="13"/>
      <c r="B38" s="54"/>
      <c r="C38" s="51" cm="1">
        <f t="array" ref="C38">(D38+E38+F38)/G38</f>
        <v>1</v>
      </c>
      <c r="D38" s="53">
        <v>1</v>
      </c>
      <c r="E38" s="52"/>
      <c r="F38" s="52"/>
      <c r="G38" s="53">
        <v>1</v>
      </c>
    </row>
    <row r="39" spans="1:7" ht="20" customHeight="1" x14ac:dyDescent="0.15">
      <c r="A39" s="13"/>
      <c r="B39" s="54"/>
      <c r="C39" s="51" cm="1">
        <f t="array" ref="C39">(D39+E39+F39)/G39</f>
        <v>1</v>
      </c>
      <c r="D39" s="53">
        <v>1</v>
      </c>
      <c r="E39" s="52"/>
      <c r="F39" s="52"/>
      <c r="G39" s="53">
        <v>1</v>
      </c>
    </row>
    <row r="40" spans="1:7" ht="20" customHeight="1" x14ac:dyDescent="0.15">
      <c r="A40" s="49" t="s">
        <v>140</v>
      </c>
      <c r="B40" s="54"/>
      <c r="C40" s="51" cm="1">
        <f t="array" ref="C40">(D40+E40+F40)/G40</f>
        <v>1</v>
      </c>
      <c r="D40" s="53">
        <v>1</v>
      </c>
      <c r="E40" s="52"/>
      <c r="F40" s="52"/>
      <c r="G40" s="53">
        <v>1</v>
      </c>
    </row>
    <row r="41" spans="1:7" ht="20" customHeight="1" x14ac:dyDescent="0.15">
      <c r="A41" s="13"/>
      <c r="B41" s="54"/>
      <c r="C41" s="51" cm="1">
        <f t="array" ref="C41">(D41+E41+F41)/G41</f>
        <v>1</v>
      </c>
      <c r="D41" s="53">
        <v>1</v>
      </c>
      <c r="E41" s="52"/>
      <c r="F41" s="52"/>
      <c r="G41" s="53">
        <v>1</v>
      </c>
    </row>
    <row r="42" spans="1:7" ht="20" customHeight="1" x14ac:dyDescent="0.15">
      <c r="A42" s="13"/>
      <c r="B42" s="54"/>
      <c r="C42" s="51" cm="1">
        <f t="array" ref="C42">(D42+E42+F42)/G42</f>
        <v>1</v>
      </c>
      <c r="D42" s="53">
        <v>1</v>
      </c>
      <c r="E42" s="52"/>
      <c r="F42" s="52"/>
      <c r="G42" s="53">
        <v>1</v>
      </c>
    </row>
    <row r="43" spans="1:7" ht="20" customHeight="1" x14ac:dyDescent="0.15">
      <c r="A43" s="13"/>
      <c r="B43" s="54"/>
      <c r="C43" s="51" cm="1">
        <f t="array" ref="C43">(D43+E43+F43)/G43</f>
        <v>1</v>
      </c>
      <c r="D43" s="53">
        <v>1</v>
      </c>
      <c r="E43" s="52"/>
      <c r="F43" s="52"/>
      <c r="G43" s="53">
        <v>1</v>
      </c>
    </row>
    <row r="44" spans="1:7" ht="32" customHeight="1" x14ac:dyDescent="0.15">
      <c r="A44" s="49" t="s">
        <v>141</v>
      </c>
      <c r="B44" s="54"/>
      <c r="C44" s="51" t="e" cm="1">
        <f t="array" ref="C44">(D44+E44+F44)/G44</f>
        <v>#DIV/0!</v>
      </c>
      <c r="D44" s="52"/>
      <c r="E44" s="52"/>
      <c r="F44" s="52"/>
      <c r="G44" s="52"/>
    </row>
    <row r="45" spans="1:7" ht="20" customHeight="1" x14ac:dyDescent="0.15">
      <c r="A45" s="13"/>
      <c r="B45" s="54"/>
      <c r="C45" s="51" t="e" cm="1">
        <f t="array" ref="C45">(D45+E45+F45)/G45</f>
        <v>#DIV/0!</v>
      </c>
      <c r="D45" s="52"/>
      <c r="E45" s="52"/>
      <c r="F45" s="52"/>
      <c r="G45" s="52"/>
    </row>
    <row r="46" spans="1:7" ht="20" customHeight="1" x14ac:dyDescent="0.15">
      <c r="A46" s="13"/>
      <c r="B46" s="54"/>
      <c r="C46" s="51" t="e" cm="1">
        <f t="array" ref="C46">(D46+E46+F46)/G46</f>
        <v>#DIV/0!</v>
      </c>
      <c r="D46" s="52"/>
      <c r="E46" s="52"/>
      <c r="F46" s="52"/>
      <c r="G46" s="52"/>
    </row>
    <row r="47" spans="1:7" ht="20" customHeight="1" x14ac:dyDescent="0.15">
      <c r="A47" s="13"/>
      <c r="B47" s="54"/>
      <c r="C47" s="51" t="e" cm="1">
        <f t="array" ref="C47">(D47+E47+F47)/G47</f>
        <v>#DIV/0!</v>
      </c>
      <c r="D47" s="52"/>
      <c r="E47" s="52"/>
      <c r="F47" s="52"/>
      <c r="G47" s="52"/>
    </row>
    <row r="48" spans="1:7" ht="20" customHeight="1" x14ac:dyDescent="0.15">
      <c r="A48" s="13"/>
      <c r="B48" s="54"/>
      <c r="C48" s="51" t="e" cm="1">
        <f t="array" ref="C48">(D48+E48+F48)/G48</f>
        <v>#DIV/0!</v>
      </c>
      <c r="D48" s="52"/>
      <c r="E48" s="52"/>
      <c r="F48" s="52"/>
      <c r="G48" s="52"/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8"/>
  <sheetViews>
    <sheetView showGridLines="0" workbookViewId="0">
      <selection sqref="A1:H1"/>
    </sheetView>
  </sheetViews>
  <sheetFormatPr baseColWidth="10" defaultColWidth="16.33203125" defaultRowHeight="14" customHeight="1" x14ac:dyDescent="0.15"/>
  <cols>
    <col min="1" max="1" width="15.33203125" style="1" customWidth="1"/>
    <col min="2" max="2" width="25.1640625" style="1" customWidth="1"/>
    <col min="3" max="3" width="5.33203125" style="1" customWidth="1"/>
    <col min="4" max="4" width="7" style="1" customWidth="1"/>
    <col min="5" max="5" width="7.83203125" style="1" customWidth="1"/>
    <col min="6" max="6" width="7.5" style="1" customWidth="1"/>
    <col min="7" max="7" width="16.6640625" style="1" customWidth="1"/>
    <col min="8" max="8" width="26.5" style="1" customWidth="1"/>
    <col min="9" max="9" width="3.5" style="1" customWidth="1"/>
    <col min="10" max="10" width="16.33203125" style="1" customWidth="1"/>
    <col min="11" max="16384" width="16.33203125" style="1"/>
  </cols>
  <sheetData>
    <row r="1" spans="1:9" ht="27.75" customHeight="1" x14ac:dyDescent="0.15">
      <c r="A1" s="55"/>
      <c r="B1" s="56"/>
      <c r="C1" s="57"/>
      <c r="D1" s="56"/>
      <c r="E1" s="56"/>
      <c r="F1" s="56"/>
      <c r="G1" s="56"/>
      <c r="H1" s="56"/>
      <c r="I1" s="3"/>
    </row>
    <row r="2" spans="1:9" ht="26.75" customHeight="1" x14ac:dyDescent="0.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/>
    </row>
    <row r="3" spans="1:9" ht="20.25" customHeight="1" x14ac:dyDescent="0.15">
      <c r="A3" s="62" t="s">
        <v>8</v>
      </c>
      <c r="B3" s="7" t="s">
        <v>9</v>
      </c>
      <c r="C3" s="8"/>
      <c r="D3" s="8"/>
      <c r="E3" s="8"/>
      <c r="F3" s="8"/>
      <c r="G3" s="8"/>
      <c r="H3" s="8"/>
      <c r="I3" s="5"/>
    </row>
    <row r="4" spans="1:9" ht="20" customHeight="1" x14ac:dyDescent="0.15">
      <c r="A4" s="60"/>
      <c r="B4" s="9" t="s">
        <v>10</v>
      </c>
      <c r="C4" s="10"/>
      <c r="D4" s="10"/>
      <c r="E4" s="10"/>
      <c r="F4" s="10"/>
      <c r="G4" s="10"/>
      <c r="H4" s="10"/>
      <c r="I4" s="5"/>
    </row>
    <row r="5" spans="1:9" ht="20" customHeight="1" x14ac:dyDescent="0.15">
      <c r="A5" s="60"/>
      <c r="B5" s="9" t="s">
        <v>11</v>
      </c>
      <c r="C5" s="10"/>
      <c r="D5" s="10"/>
      <c r="E5" s="10"/>
      <c r="F5" s="10"/>
      <c r="G5" s="10"/>
      <c r="H5" s="10"/>
      <c r="I5" s="5"/>
    </row>
    <row r="6" spans="1:9" ht="20" customHeight="1" x14ac:dyDescent="0.15">
      <c r="A6" s="60"/>
      <c r="B6" s="9" t="s">
        <v>12</v>
      </c>
      <c r="C6" s="10"/>
      <c r="D6" s="10"/>
      <c r="E6" s="11"/>
      <c r="F6" s="10"/>
      <c r="G6" s="10"/>
      <c r="H6" s="10"/>
      <c r="I6" s="5"/>
    </row>
    <row r="7" spans="1:9" ht="20" customHeight="1" x14ac:dyDescent="0.15">
      <c r="A7" s="60"/>
      <c r="B7" s="9" t="s">
        <v>13</v>
      </c>
      <c r="C7" s="10"/>
      <c r="D7" s="10"/>
      <c r="E7" s="10"/>
      <c r="F7" s="10"/>
      <c r="G7" s="10"/>
      <c r="H7" s="10"/>
      <c r="I7" s="5"/>
    </row>
    <row r="8" spans="1:9" ht="20" customHeight="1" x14ac:dyDescent="0.15">
      <c r="A8" s="60"/>
      <c r="B8" s="9" t="s">
        <v>14</v>
      </c>
      <c r="C8" s="10"/>
      <c r="D8" s="10"/>
      <c r="E8" s="10"/>
      <c r="F8" s="10"/>
      <c r="G8" s="10"/>
      <c r="H8" s="10"/>
      <c r="I8" s="5"/>
    </row>
    <row r="9" spans="1:9" ht="20" customHeight="1" x14ac:dyDescent="0.15">
      <c r="A9" s="60"/>
      <c r="B9" s="9" t="s">
        <v>15</v>
      </c>
      <c r="C9" s="10"/>
      <c r="D9" s="10"/>
      <c r="E9" s="10"/>
      <c r="F9" s="10"/>
      <c r="G9" s="10"/>
      <c r="H9" s="10"/>
      <c r="I9" s="5"/>
    </row>
    <row r="10" spans="1:9" ht="20" customHeight="1" x14ac:dyDescent="0.15">
      <c r="A10" s="60"/>
      <c r="B10" s="9" t="s">
        <v>16</v>
      </c>
      <c r="C10" s="10"/>
      <c r="D10" s="10"/>
      <c r="E10" s="10"/>
      <c r="F10" s="10"/>
      <c r="G10" s="10"/>
      <c r="H10" s="10"/>
      <c r="I10" s="5"/>
    </row>
    <row r="11" spans="1:9" ht="20" customHeight="1" x14ac:dyDescent="0.15">
      <c r="A11" s="60"/>
      <c r="B11" s="9" t="s">
        <v>17</v>
      </c>
      <c r="C11" s="10"/>
      <c r="D11" s="10"/>
      <c r="E11" s="11"/>
      <c r="F11" s="11"/>
      <c r="G11" s="10"/>
      <c r="H11" s="10"/>
      <c r="I11" s="5"/>
    </row>
    <row r="12" spans="1:9" ht="20" customHeight="1" x14ac:dyDescent="0.15">
      <c r="A12" s="60"/>
      <c r="B12" s="9" t="s">
        <v>18</v>
      </c>
      <c r="C12" s="10"/>
      <c r="D12" s="10"/>
      <c r="E12" s="11"/>
      <c r="F12" s="11"/>
      <c r="G12" s="10"/>
      <c r="H12" s="10"/>
      <c r="I12" s="5"/>
    </row>
    <row r="13" spans="1:9" ht="20" customHeight="1" x14ac:dyDescent="0.15">
      <c r="A13" s="60"/>
      <c r="B13" s="9" t="s">
        <v>19</v>
      </c>
      <c r="C13" s="10"/>
      <c r="D13" s="10"/>
      <c r="E13" s="11"/>
      <c r="F13" s="11"/>
      <c r="G13" s="10"/>
      <c r="H13" s="10"/>
      <c r="I13" s="5"/>
    </row>
    <row r="14" spans="1:9" ht="20" customHeight="1" x14ac:dyDescent="0.15">
      <c r="A14" s="60"/>
      <c r="B14" s="9" t="s">
        <v>20</v>
      </c>
      <c r="C14" s="10"/>
      <c r="D14" s="10"/>
      <c r="E14" s="11"/>
      <c r="F14" s="11"/>
      <c r="G14" s="10"/>
      <c r="H14" s="10"/>
      <c r="I14" s="5"/>
    </row>
    <row r="15" spans="1:9" ht="20" customHeight="1" x14ac:dyDescent="0.15">
      <c r="A15" s="60"/>
      <c r="B15" s="9" t="s">
        <v>21</v>
      </c>
      <c r="C15" s="10"/>
      <c r="D15" s="10"/>
      <c r="E15" s="11"/>
      <c r="F15" s="10"/>
      <c r="G15" s="10"/>
      <c r="H15" s="10"/>
      <c r="I15" s="5"/>
    </row>
    <row r="16" spans="1:9" ht="20" customHeight="1" x14ac:dyDescent="0.15">
      <c r="A16" s="60"/>
      <c r="B16" s="9" t="s">
        <v>22</v>
      </c>
      <c r="C16" s="10"/>
      <c r="D16" s="10"/>
      <c r="E16" s="11"/>
      <c r="F16" s="10"/>
      <c r="G16" s="10"/>
      <c r="H16" s="10"/>
      <c r="I16" s="5"/>
    </row>
    <row r="17" spans="1:9" ht="20" customHeight="1" x14ac:dyDescent="0.15">
      <c r="A17" s="60"/>
      <c r="B17" s="9" t="s">
        <v>23</v>
      </c>
      <c r="C17" s="10"/>
      <c r="D17" s="10"/>
      <c r="E17" s="11"/>
      <c r="F17" s="10"/>
      <c r="G17" s="10"/>
      <c r="H17" s="10"/>
      <c r="I17" s="5"/>
    </row>
    <row r="18" spans="1:9" ht="20" customHeight="1" x14ac:dyDescent="0.15">
      <c r="A18" s="58" t="s">
        <v>24</v>
      </c>
      <c r="B18" s="9" t="s">
        <v>25</v>
      </c>
      <c r="C18" s="10"/>
      <c r="D18" s="10"/>
      <c r="E18" s="11"/>
      <c r="F18" s="10"/>
      <c r="G18" s="10"/>
      <c r="H18" s="10"/>
      <c r="I18" s="5"/>
    </row>
    <row r="19" spans="1:9" ht="20" customHeight="1" x14ac:dyDescent="0.15">
      <c r="A19" s="59"/>
      <c r="B19" s="9" t="s">
        <v>26</v>
      </c>
      <c r="C19" s="10"/>
      <c r="D19" s="10"/>
      <c r="E19" s="11"/>
      <c r="F19" s="10"/>
      <c r="G19" s="10"/>
      <c r="H19" s="14"/>
      <c r="I19" s="5"/>
    </row>
    <row r="20" spans="1:9" ht="20" customHeight="1" x14ac:dyDescent="0.15">
      <c r="A20" s="59"/>
      <c r="B20" s="9" t="s">
        <v>27</v>
      </c>
      <c r="C20" s="10"/>
      <c r="D20" s="10"/>
      <c r="E20" s="11"/>
      <c r="F20" s="10"/>
      <c r="G20" s="10"/>
      <c r="H20" s="8"/>
      <c r="I20" s="5"/>
    </row>
    <row r="21" spans="1:9" ht="20" customHeight="1" x14ac:dyDescent="0.15">
      <c r="A21" s="59"/>
      <c r="B21" s="9" t="s">
        <v>28</v>
      </c>
      <c r="C21" s="10"/>
      <c r="D21" s="10"/>
      <c r="E21" s="11"/>
      <c r="F21" s="10"/>
      <c r="G21" s="10"/>
      <c r="H21" s="10"/>
      <c r="I21" s="5"/>
    </row>
    <row r="22" spans="1:9" ht="20" customHeight="1" x14ac:dyDescent="0.15">
      <c r="A22" s="59"/>
      <c r="B22" s="9" t="s">
        <v>29</v>
      </c>
      <c r="C22" s="10"/>
      <c r="D22" s="10"/>
      <c r="E22" s="11"/>
      <c r="F22" s="10"/>
      <c r="G22" s="10"/>
      <c r="H22" s="14"/>
      <c r="I22" s="5"/>
    </row>
    <row r="23" spans="1:9" ht="20" customHeight="1" x14ac:dyDescent="0.15">
      <c r="A23" s="59"/>
      <c r="B23" s="9" t="s">
        <v>30</v>
      </c>
      <c r="C23" s="10"/>
      <c r="D23" s="10"/>
      <c r="E23" s="11"/>
      <c r="F23" s="10"/>
      <c r="G23" s="10"/>
      <c r="H23" s="15"/>
      <c r="I23" s="5"/>
    </row>
    <row r="24" spans="1:9" ht="20" customHeight="1" x14ac:dyDescent="0.15">
      <c r="A24" s="59"/>
      <c r="B24" s="9" t="s">
        <v>31</v>
      </c>
      <c r="C24" s="10"/>
      <c r="D24" s="10"/>
      <c r="E24" s="11"/>
      <c r="F24" s="10"/>
      <c r="G24" s="10"/>
      <c r="H24" s="15"/>
      <c r="I24" s="5"/>
    </row>
    <row r="25" spans="1:9" ht="20" customHeight="1" x14ac:dyDescent="0.15">
      <c r="A25" s="59"/>
      <c r="B25" s="9" t="s">
        <v>32</v>
      </c>
      <c r="C25" s="10"/>
      <c r="D25" s="10"/>
      <c r="E25" s="11"/>
      <c r="F25" s="10"/>
      <c r="G25" s="10"/>
      <c r="H25" s="15"/>
      <c r="I25" s="5"/>
    </row>
    <row r="26" spans="1:9" ht="20" customHeight="1" x14ac:dyDescent="0.15">
      <c r="A26" s="59"/>
      <c r="B26" s="9" t="s">
        <v>33</v>
      </c>
      <c r="C26" s="10"/>
      <c r="D26" s="10"/>
      <c r="E26" s="11"/>
      <c r="F26" s="10"/>
      <c r="G26" s="10"/>
      <c r="H26" s="8"/>
      <c r="I26" s="5"/>
    </row>
    <row r="27" spans="1:9" ht="20" customHeight="1" x14ac:dyDescent="0.15">
      <c r="A27" s="59"/>
      <c r="B27" s="9" t="s">
        <v>34</v>
      </c>
      <c r="C27" s="10"/>
      <c r="D27" s="10"/>
      <c r="E27" s="10"/>
      <c r="F27" s="10"/>
      <c r="G27" s="10"/>
      <c r="H27" s="10"/>
      <c r="I27" s="5"/>
    </row>
    <row r="28" spans="1:9" ht="20" customHeight="1" x14ac:dyDescent="0.15">
      <c r="A28" s="59"/>
      <c r="B28" s="9" t="s">
        <v>35</v>
      </c>
      <c r="C28" s="10"/>
      <c r="D28" s="10"/>
      <c r="E28" s="11"/>
      <c r="F28" s="10"/>
      <c r="G28" s="10"/>
      <c r="H28" s="10"/>
      <c r="I28" s="5"/>
    </row>
    <row r="29" spans="1:9" ht="20" customHeight="1" x14ac:dyDescent="0.15">
      <c r="A29" s="59"/>
      <c r="B29" s="9" t="s">
        <v>36</v>
      </c>
      <c r="C29" s="10"/>
      <c r="D29" s="10"/>
      <c r="E29" s="11"/>
      <c r="F29" s="10"/>
      <c r="G29" s="10"/>
      <c r="H29" s="10"/>
      <c r="I29" s="5"/>
    </row>
    <row r="30" spans="1:9" ht="20" customHeight="1" x14ac:dyDescent="0.15">
      <c r="A30" s="58" t="s">
        <v>37</v>
      </c>
      <c r="B30" s="9" t="s">
        <v>38</v>
      </c>
      <c r="C30" s="10"/>
      <c r="D30" s="10"/>
      <c r="E30" s="11"/>
      <c r="F30" s="10"/>
      <c r="G30" s="10"/>
      <c r="H30" s="10"/>
      <c r="I30" s="5"/>
    </row>
    <row r="31" spans="1:9" ht="20" customHeight="1" x14ac:dyDescent="0.15">
      <c r="A31" s="59"/>
      <c r="B31" s="9" t="s">
        <v>39</v>
      </c>
      <c r="C31" s="10"/>
      <c r="D31" s="10"/>
      <c r="E31" s="11"/>
      <c r="F31" s="10"/>
      <c r="G31" s="10"/>
      <c r="H31" s="10"/>
      <c r="I31" s="5"/>
    </row>
    <row r="32" spans="1:9" ht="20" customHeight="1" x14ac:dyDescent="0.15">
      <c r="A32" s="59"/>
      <c r="B32" s="9" t="s">
        <v>40</v>
      </c>
      <c r="C32" s="10"/>
      <c r="D32" s="10"/>
      <c r="E32" s="11"/>
      <c r="F32" s="10"/>
      <c r="G32" s="10"/>
      <c r="H32" s="10"/>
      <c r="I32" s="5"/>
    </row>
    <row r="33" spans="1:9" ht="20" customHeight="1" x14ac:dyDescent="0.15">
      <c r="A33" s="60"/>
      <c r="B33" s="9" t="s">
        <v>41</v>
      </c>
      <c r="C33" s="10"/>
      <c r="D33" s="10"/>
      <c r="E33" s="11"/>
      <c r="F33" s="10"/>
      <c r="G33" s="10"/>
      <c r="H33" s="10"/>
      <c r="I33" s="5"/>
    </row>
    <row r="34" spans="1:9" ht="20" customHeight="1" x14ac:dyDescent="0.15">
      <c r="A34" s="59"/>
      <c r="B34" s="9" t="s">
        <v>42</v>
      </c>
      <c r="C34" s="10"/>
      <c r="D34" s="10"/>
      <c r="E34" s="11"/>
      <c r="F34" s="10"/>
      <c r="G34" s="10"/>
      <c r="H34" s="10"/>
      <c r="I34" s="5"/>
    </row>
    <row r="35" spans="1:9" ht="20" customHeight="1" x14ac:dyDescent="0.15">
      <c r="A35" s="59"/>
      <c r="B35" s="9" t="s">
        <v>43</v>
      </c>
      <c r="C35" s="10"/>
      <c r="D35" s="10"/>
      <c r="E35" s="11"/>
      <c r="F35" s="10"/>
      <c r="G35" s="10"/>
      <c r="H35" s="10"/>
      <c r="I35" s="5"/>
    </row>
    <row r="36" spans="1:9" ht="20" customHeight="1" x14ac:dyDescent="0.15">
      <c r="A36" s="59"/>
      <c r="B36" s="9" t="s">
        <v>44</v>
      </c>
      <c r="C36" s="10"/>
      <c r="D36" s="10"/>
      <c r="E36" s="11"/>
      <c r="F36" s="10"/>
      <c r="G36" s="10"/>
      <c r="H36" s="10"/>
      <c r="I36" s="5"/>
    </row>
    <row r="37" spans="1:9" ht="20" customHeight="1" x14ac:dyDescent="0.15">
      <c r="A37" s="59"/>
      <c r="B37" s="9" t="s">
        <v>45</v>
      </c>
      <c r="C37" s="10"/>
      <c r="D37" s="10"/>
      <c r="E37" s="10"/>
      <c r="F37" s="10"/>
      <c r="G37" s="10"/>
      <c r="H37" s="10"/>
      <c r="I37" s="5"/>
    </row>
    <row r="38" spans="1:9" ht="20" customHeight="1" x14ac:dyDescent="0.15">
      <c r="A38" s="59"/>
      <c r="B38" s="9" t="s">
        <v>46</v>
      </c>
      <c r="C38" s="10"/>
      <c r="D38" s="10"/>
      <c r="E38" s="10"/>
      <c r="F38" s="10"/>
      <c r="G38" s="10"/>
      <c r="H38" s="10"/>
      <c r="I38" s="5"/>
    </row>
    <row r="39" spans="1:9" ht="20" customHeight="1" x14ac:dyDescent="0.15">
      <c r="A39" s="61"/>
      <c r="B39" s="16" t="s">
        <v>47</v>
      </c>
      <c r="C39" s="14"/>
      <c r="D39" s="14"/>
      <c r="E39" s="14"/>
      <c r="F39" s="14"/>
      <c r="G39" s="14"/>
      <c r="H39" s="14"/>
      <c r="I39" s="17"/>
    </row>
    <row r="40" spans="1:9" ht="20" customHeight="1" x14ac:dyDescent="0.15">
      <c r="A40" s="62" t="s">
        <v>48</v>
      </c>
      <c r="B40" s="7" t="s">
        <v>49</v>
      </c>
      <c r="C40" s="8"/>
      <c r="D40" s="8"/>
      <c r="E40" s="8"/>
      <c r="F40" s="8"/>
      <c r="G40" s="8"/>
      <c r="H40" s="15"/>
      <c r="I40" s="15"/>
    </row>
    <row r="41" spans="1:9" ht="20" customHeight="1" x14ac:dyDescent="0.15">
      <c r="A41" s="60"/>
      <c r="B41" s="9" t="s">
        <v>50</v>
      </c>
      <c r="C41" s="10"/>
      <c r="D41" s="10"/>
      <c r="E41" s="11"/>
      <c r="F41" s="10"/>
      <c r="G41" s="10"/>
      <c r="H41" s="15"/>
      <c r="I41" s="15"/>
    </row>
    <row r="42" spans="1:9" ht="20" customHeight="1" x14ac:dyDescent="0.15">
      <c r="A42" s="60"/>
      <c r="B42" s="9" t="s">
        <v>51</v>
      </c>
      <c r="C42" s="10"/>
      <c r="D42" s="10"/>
      <c r="E42" s="11"/>
      <c r="F42" s="10"/>
      <c r="G42" s="10"/>
      <c r="H42" s="15"/>
      <c r="I42" s="15"/>
    </row>
    <row r="43" spans="1:9" ht="22.5" customHeight="1" x14ac:dyDescent="0.15">
      <c r="A43" s="60"/>
      <c r="B43" s="9" t="s">
        <v>52</v>
      </c>
      <c r="C43" s="10"/>
      <c r="D43" s="10"/>
      <c r="E43" s="11"/>
      <c r="F43" s="10"/>
      <c r="G43" s="10"/>
      <c r="H43" s="15"/>
      <c r="I43" s="15"/>
    </row>
    <row r="44" spans="1:9" ht="19.75" customHeight="1" x14ac:dyDescent="0.15">
      <c r="A44" s="60"/>
      <c r="B44" s="9" t="s">
        <v>53</v>
      </c>
      <c r="C44" s="10"/>
      <c r="D44" s="10"/>
      <c r="E44" s="11"/>
      <c r="F44" s="10"/>
      <c r="G44" s="10"/>
      <c r="H44" s="15"/>
      <c r="I44" s="15"/>
    </row>
    <row r="45" spans="1:9" ht="19.75" customHeight="1" x14ac:dyDescent="0.15">
      <c r="A45" s="60"/>
      <c r="B45" s="9" t="s">
        <v>54</v>
      </c>
      <c r="C45" s="10"/>
      <c r="D45" s="10"/>
      <c r="E45" s="11"/>
      <c r="F45" s="10"/>
      <c r="G45" s="10"/>
      <c r="H45" s="15"/>
      <c r="I45" s="15"/>
    </row>
    <row r="46" spans="1:9" ht="19.75" customHeight="1" x14ac:dyDescent="0.15">
      <c r="A46" s="60"/>
      <c r="B46" s="9" t="s">
        <v>54</v>
      </c>
      <c r="C46" s="10"/>
      <c r="D46" s="10"/>
      <c r="E46" s="11"/>
      <c r="F46" s="10"/>
      <c r="G46" s="10"/>
      <c r="H46" s="8"/>
      <c r="I46" s="15"/>
    </row>
    <row r="47" spans="1:9" ht="19.75" customHeight="1" x14ac:dyDescent="0.15">
      <c r="A47" s="60"/>
      <c r="B47" s="9" t="s">
        <v>55</v>
      </c>
      <c r="C47" s="10"/>
      <c r="D47" s="10"/>
      <c r="E47" s="11"/>
      <c r="F47" s="10"/>
      <c r="G47" s="10"/>
      <c r="H47" s="10"/>
      <c r="I47" s="15"/>
    </row>
    <row r="48" spans="1:9" ht="19.75" customHeight="1" x14ac:dyDescent="0.15">
      <c r="A48" s="60"/>
      <c r="B48" s="9" t="s">
        <v>56</v>
      </c>
      <c r="C48" s="10"/>
      <c r="D48" s="10"/>
      <c r="E48" s="11"/>
      <c r="F48" s="10"/>
      <c r="G48" s="10"/>
      <c r="H48" s="10"/>
      <c r="I48" s="15"/>
    </row>
    <row r="49" spans="1:9" ht="19.75" customHeight="1" x14ac:dyDescent="0.15">
      <c r="A49" s="60"/>
      <c r="B49" s="9" t="s">
        <v>57</v>
      </c>
      <c r="C49" s="10"/>
      <c r="D49" s="10"/>
      <c r="E49" s="11"/>
      <c r="F49" s="10"/>
      <c r="G49" s="10"/>
      <c r="H49" s="10"/>
      <c r="I49" s="15"/>
    </row>
    <row r="50" spans="1:9" ht="19.75" customHeight="1" x14ac:dyDescent="0.15">
      <c r="A50" s="60"/>
      <c r="B50" s="9" t="s">
        <v>58</v>
      </c>
      <c r="C50" s="10"/>
      <c r="D50" s="10"/>
      <c r="E50" s="11"/>
      <c r="F50" s="10"/>
      <c r="G50" s="10"/>
      <c r="H50" s="10"/>
      <c r="I50" s="15"/>
    </row>
    <row r="51" spans="1:9" ht="19.75" customHeight="1" x14ac:dyDescent="0.15">
      <c r="A51" s="60"/>
      <c r="B51" s="9" t="s">
        <v>59</v>
      </c>
      <c r="C51" s="10"/>
      <c r="D51" s="10"/>
      <c r="E51" s="11"/>
      <c r="F51" s="10"/>
      <c r="G51" s="10"/>
      <c r="H51" s="10"/>
      <c r="I51" s="15"/>
    </row>
    <row r="52" spans="1:9" ht="19.75" customHeight="1" x14ac:dyDescent="0.15">
      <c r="A52" s="58" t="s">
        <v>60</v>
      </c>
      <c r="B52" s="9" t="s">
        <v>61</v>
      </c>
      <c r="C52" s="10"/>
      <c r="D52" s="10"/>
      <c r="E52" s="11"/>
      <c r="F52" s="10"/>
      <c r="G52" s="10"/>
      <c r="H52" s="10"/>
      <c r="I52" s="15"/>
    </row>
    <row r="53" spans="1:9" ht="19.75" customHeight="1" x14ac:dyDescent="0.15">
      <c r="A53" s="59"/>
      <c r="B53" s="9" t="s">
        <v>62</v>
      </c>
      <c r="C53" s="10"/>
      <c r="D53" s="10"/>
      <c r="E53" s="11"/>
      <c r="F53" s="10"/>
      <c r="G53" s="10"/>
      <c r="H53" s="10"/>
      <c r="I53" s="15"/>
    </row>
    <row r="54" spans="1:9" ht="19.75" customHeight="1" x14ac:dyDescent="0.15">
      <c r="A54" s="59"/>
      <c r="B54" s="9" t="s">
        <v>63</v>
      </c>
      <c r="C54" s="10"/>
      <c r="D54" s="10"/>
      <c r="E54" s="11"/>
      <c r="F54" s="10"/>
      <c r="G54" s="10"/>
      <c r="H54" s="10"/>
      <c r="I54" s="15"/>
    </row>
    <row r="55" spans="1:9" ht="19.75" customHeight="1" x14ac:dyDescent="0.15">
      <c r="A55" s="59"/>
      <c r="B55" s="9" t="s">
        <v>64</v>
      </c>
      <c r="C55" s="10"/>
      <c r="D55" s="10"/>
      <c r="E55" s="11"/>
      <c r="F55" s="10"/>
      <c r="G55" s="10"/>
      <c r="H55" s="10"/>
      <c r="I55" s="15"/>
    </row>
    <row r="56" spans="1:9" ht="19.75" customHeight="1" x14ac:dyDescent="0.15">
      <c r="A56" s="59"/>
      <c r="B56" s="9" t="s">
        <v>65</v>
      </c>
      <c r="C56" s="10"/>
      <c r="D56" s="10"/>
      <c r="E56" s="11"/>
      <c r="F56" s="10"/>
      <c r="G56" s="10"/>
      <c r="H56" s="10"/>
      <c r="I56" s="15"/>
    </row>
    <row r="57" spans="1:9" ht="19.75" customHeight="1" x14ac:dyDescent="0.15">
      <c r="A57" s="58" t="s">
        <v>66</v>
      </c>
      <c r="B57" s="9" t="s">
        <v>67</v>
      </c>
      <c r="C57" s="10"/>
      <c r="D57" s="10"/>
      <c r="E57" s="11"/>
      <c r="F57" s="10"/>
      <c r="G57" s="10"/>
      <c r="H57" s="10"/>
      <c r="I57" s="15"/>
    </row>
    <row r="58" spans="1:9" ht="19.75" customHeight="1" x14ac:dyDescent="0.15">
      <c r="A58" s="59"/>
      <c r="B58" s="9" t="s">
        <v>68</v>
      </c>
      <c r="C58" s="10"/>
      <c r="D58" s="10"/>
      <c r="E58" s="10"/>
      <c r="F58" s="10"/>
      <c r="G58" s="10"/>
      <c r="H58" s="10"/>
      <c r="I58" s="15"/>
    </row>
    <row r="59" spans="1:9" ht="19.75" customHeight="1" x14ac:dyDescent="0.15">
      <c r="A59" s="59"/>
      <c r="B59" s="9" t="s">
        <v>46</v>
      </c>
      <c r="C59" s="10"/>
      <c r="D59" s="10"/>
      <c r="E59" s="10"/>
      <c r="F59" s="10"/>
      <c r="G59" s="10"/>
      <c r="H59" s="10"/>
      <c r="I59" s="15"/>
    </row>
    <row r="60" spans="1:9" ht="19.75" customHeight="1" x14ac:dyDescent="0.15">
      <c r="A60" s="59"/>
      <c r="B60" s="9" t="s">
        <v>69</v>
      </c>
      <c r="C60" s="10"/>
      <c r="D60" s="10"/>
      <c r="E60" s="11"/>
      <c r="F60" s="10"/>
      <c r="G60" s="10"/>
      <c r="H60" s="10"/>
      <c r="I60" s="15"/>
    </row>
    <row r="61" spans="1:9" ht="19.75" customHeight="1" x14ac:dyDescent="0.15">
      <c r="A61" s="18" t="s">
        <v>70</v>
      </c>
      <c r="B61" s="16" t="s">
        <v>71</v>
      </c>
      <c r="C61" s="14"/>
      <c r="D61" s="14"/>
      <c r="E61" s="11"/>
      <c r="F61" s="14"/>
      <c r="G61" s="14"/>
      <c r="H61" s="14"/>
      <c r="I61" s="8"/>
    </row>
    <row r="62" spans="1:9" ht="19.75" customHeight="1" x14ac:dyDescent="0.15">
      <c r="A62" s="62" t="s">
        <v>72</v>
      </c>
      <c r="B62" s="7" t="s">
        <v>73</v>
      </c>
      <c r="C62" s="8"/>
      <c r="D62" s="8"/>
      <c r="E62" s="11"/>
      <c r="F62" s="8"/>
      <c r="G62" s="8"/>
      <c r="H62" s="8"/>
      <c r="I62" s="10"/>
    </row>
    <row r="63" spans="1:9" ht="19.75" customHeight="1" x14ac:dyDescent="0.15">
      <c r="A63" s="59"/>
      <c r="B63" s="9" t="s">
        <v>74</v>
      </c>
      <c r="C63" s="10"/>
      <c r="D63" s="10"/>
      <c r="E63" s="11"/>
      <c r="F63" s="10"/>
      <c r="G63" s="10"/>
      <c r="H63" s="10"/>
      <c r="I63" s="10"/>
    </row>
    <row r="64" spans="1:9" ht="19.75" customHeight="1" x14ac:dyDescent="0.15">
      <c r="A64" s="59"/>
      <c r="B64" s="9" t="s">
        <v>75</v>
      </c>
      <c r="C64" s="10"/>
      <c r="D64" s="10"/>
      <c r="E64" s="11"/>
      <c r="F64" s="10"/>
      <c r="G64" s="10"/>
      <c r="H64" s="10"/>
      <c r="I64" s="19"/>
    </row>
    <row r="65" spans="1:9" ht="19.75" customHeight="1" x14ac:dyDescent="0.15">
      <c r="A65" s="59"/>
      <c r="B65" s="9" t="s">
        <v>76</v>
      </c>
      <c r="C65" s="10"/>
      <c r="D65" s="10"/>
      <c r="E65" s="11"/>
      <c r="F65" s="10"/>
      <c r="G65" s="10"/>
      <c r="H65" s="10"/>
      <c r="I65" s="10"/>
    </row>
    <row r="66" spans="1:9" ht="19.75" customHeight="1" x14ac:dyDescent="0.15">
      <c r="A66" s="59"/>
      <c r="B66" s="9" t="s">
        <v>77</v>
      </c>
      <c r="C66" s="10"/>
      <c r="D66" s="10"/>
      <c r="E66" s="11"/>
      <c r="F66" s="10"/>
      <c r="G66" s="10"/>
      <c r="H66" s="10"/>
      <c r="I66" s="10"/>
    </row>
    <row r="67" spans="1:9" ht="19.75" customHeight="1" x14ac:dyDescent="0.15">
      <c r="A67" s="59"/>
      <c r="B67" s="9" t="s">
        <v>78</v>
      </c>
      <c r="C67" s="10"/>
      <c r="D67" s="10"/>
      <c r="E67" s="11"/>
      <c r="F67" s="10"/>
      <c r="G67" s="10"/>
      <c r="H67" s="10"/>
      <c r="I67" s="10"/>
    </row>
    <row r="68" spans="1:9" ht="19.75" customHeight="1" x14ac:dyDescent="0.15">
      <c r="A68" s="58" t="s">
        <v>79</v>
      </c>
      <c r="B68" s="9" t="s">
        <v>80</v>
      </c>
      <c r="C68" s="10"/>
      <c r="D68" s="10"/>
      <c r="E68" s="11"/>
      <c r="F68" s="10"/>
      <c r="G68" s="10"/>
      <c r="H68" s="10"/>
      <c r="I68" s="10"/>
    </row>
    <row r="69" spans="1:9" ht="19.75" customHeight="1" x14ac:dyDescent="0.15">
      <c r="A69" s="60"/>
      <c r="B69" s="9" t="s">
        <v>81</v>
      </c>
      <c r="C69" s="10"/>
      <c r="D69" s="10"/>
      <c r="E69" s="11"/>
      <c r="F69" s="10"/>
      <c r="G69" s="10"/>
      <c r="H69" s="10"/>
      <c r="I69" s="10"/>
    </row>
    <row r="70" spans="1:9" ht="19.75" customHeight="1" x14ac:dyDescent="0.15">
      <c r="A70" s="60"/>
      <c r="B70" s="9" t="s">
        <v>82</v>
      </c>
      <c r="C70" s="10"/>
      <c r="D70" s="10"/>
      <c r="E70" s="11"/>
      <c r="F70" s="10"/>
      <c r="G70" s="10"/>
      <c r="H70" s="10"/>
      <c r="I70" s="10"/>
    </row>
    <row r="71" spans="1:9" ht="19.75" customHeight="1" x14ac:dyDescent="0.15">
      <c r="A71" s="60"/>
      <c r="B71" s="9" t="s">
        <v>83</v>
      </c>
      <c r="C71" s="10"/>
      <c r="D71" s="10"/>
      <c r="E71" s="11"/>
      <c r="F71" s="10"/>
      <c r="G71" s="10"/>
      <c r="H71" s="10"/>
      <c r="I71" s="10"/>
    </row>
    <row r="72" spans="1:9" ht="19.75" customHeight="1" x14ac:dyDescent="0.15">
      <c r="A72" s="60"/>
      <c r="B72" s="9" t="s">
        <v>84</v>
      </c>
      <c r="C72" s="10"/>
      <c r="D72" s="10"/>
      <c r="E72" s="11"/>
      <c r="F72" s="10"/>
      <c r="G72" s="10"/>
      <c r="H72" s="10"/>
      <c r="I72" s="10"/>
    </row>
    <row r="73" spans="1:9" ht="19.75" customHeight="1" x14ac:dyDescent="0.15">
      <c r="A73" s="60"/>
      <c r="B73" s="9" t="s">
        <v>68</v>
      </c>
      <c r="C73" s="10"/>
      <c r="D73" s="10"/>
      <c r="E73" s="10"/>
      <c r="F73" s="10"/>
      <c r="G73" s="10"/>
      <c r="H73" s="10"/>
      <c r="I73" s="10"/>
    </row>
    <row r="74" spans="1:9" ht="19.75" customHeight="1" x14ac:dyDescent="0.15">
      <c r="A74" s="60"/>
      <c r="B74" s="9" t="s">
        <v>85</v>
      </c>
      <c r="C74" s="10"/>
      <c r="D74" s="10"/>
      <c r="E74" s="10"/>
      <c r="F74" s="10"/>
      <c r="G74" s="10"/>
      <c r="H74" s="10"/>
      <c r="I74" s="10"/>
    </row>
    <row r="75" spans="1:9" ht="19.75" customHeight="1" x14ac:dyDescent="0.15">
      <c r="A75" s="58" t="s">
        <v>86</v>
      </c>
      <c r="B75" s="9" t="s">
        <v>87</v>
      </c>
      <c r="C75" s="10"/>
      <c r="D75" s="10"/>
      <c r="E75" s="10"/>
      <c r="F75" s="10"/>
      <c r="G75" s="10"/>
      <c r="H75" s="10"/>
      <c r="I75" s="10"/>
    </row>
    <row r="76" spans="1:9" ht="19.75" customHeight="1" x14ac:dyDescent="0.15">
      <c r="A76" s="60"/>
      <c r="B76" s="9" t="s">
        <v>88</v>
      </c>
      <c r="C76" s="10"/>
      <c r="D76" s="10"/>
      <c r="E76" s="10"/>
      <c r="F76" s="10"/>
      <c r="G76" s="10"/>
      <c r="H76" s="10"/>
      <c r="I76" s="10"/>
    </row>
    <row r="77" spans="1:9" ht="19.75" customHeight="1" x14ac:dyDescent="0.15">
      <c r="A77" s="60"/>
      <c r="B77" s="9" t="s">
        <v>89</v>
      </c>
      <c r="C77" s="10"/>
      <c r="D77" s="10"/>
      <c r="E77" s="10"/>
      <c r="F77" s="10"/>
      <c r="G77" s="10"/>
      <c r="H77" s="19"/>
      <c r="I77" s="10"/>
    </row>
    <row r="78" spans="1:9" ht="19.75" customHeight="1" x14ac:dyDescent="0.15">
      <c r="A78" s="12" t="s">
        <v>90</v>
      </c>
      <c r="B78" s="9"/>
      <c r="C78" s="10"/>
      <c r="D78" s="11"/>
      <c r="E78" s="11"/>
      <c r="F78" s="11"/>
      <c r="G78" s="10"/>
      <c r="H78" s="10"/>
      <c r="I78" s="10"/>
    </row>
  </sheetData>
  <mergeCells count="10">
    <mergeCell ref="A57:A60"/>
    <mergeCell ref="A62:A67"/>
    <mergeCell ref="A40:A51"/>
    <mergeCell ref="A68:A74"/>
    <mergeCell ref="A75:A77"/>
    <mergeCell ref="A1:H1"/>
    <mergeCell ref="A18:A29"/>
    <mergeCell ref="A30:A39"/>
    <mergeCell ref="A3:A17"/>
    <mergeCell ref="A52:A56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Compartiment DB 1 - First Floor</vt:lpstr>
      <vt:lpstr>Compartiment DB 2 - 2nd Floo</vt:lpstr>
      <vt:lpstr>Compartiment DB 3 - 3rd Floor</vt:lpstr>
      <vt:lpstr>compartiments DB - Departments 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Faria</cp:lastModifiedBy>
  <dcterms:modified xsi:type="dcterms:W3CDTF">2026-06-03T02:28:03Z</dcterms:modified>
</cp:coreProperties>
</file>